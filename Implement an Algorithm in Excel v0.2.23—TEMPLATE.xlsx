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ulb\MyDocs\_Courses L3 Data\AEDXD2DE3M4 - Statistics for Decision Making\"/>
    </mc:Choice>
  </mc:AlternateContent>
  <xr:revisionPtr revIDLastSave="0" documentId="8_{0350D1EB-3490-4461-9AF1-91312F1828E3}" xr6:coauthVersionLast="47" xr6:coauthVersionMax="47" xr10:uidLastSave="{00000000-0000-0000-0000-000000000000}"/>
  <bookViews>
    <workbookView xWindow="-25632" yWindow="2556" windowWidth="18504" windowHeight="12012" activeTab="1" xr2:uid="{7D1EF2D7-042B-4F4B-9E90-CD7696C36CF2}"/>
  </bookViews>
  <sheets>
    <sheet name="Algorithm" sheetId="2" r:id="rId1"/>
    <sheet name="Formula help" sheetId="6" r:id="rId2"/>
    <sheet name="Dev" sheetId="4" state="hidden" r:id="rId3"/>
  </sheets>
  <definedNames>
    <definedName name="correctStr">"✔️Correct"</definedName>
    <definedName name="correctSymbol">"✔️"</definedName>
    <definedName name="fnDoesNotWorkStr">incorrectSymbol &amp; " This function is not included in your version of Excel"</definedName>
    <definedName name="fnWorksStr">correctSymbol &amp; " This function is included in your version of Excel"</definedName>
    <definedName name="helpPlaceholderStr">"Help text will appear here if your formula fails"</definedName>
    <definedName name="incorrectStr">"✘ Incorrect"</definedName>
    <definedName name="incorrectSymbol">"✘"</definedName>
    <definedName name="range_">Dev!$D$2</definedName>
    <definedName name="solver_eng" localSheetId="2" hidden="1">1</definedName>
    <definedName name="solver_neg" localSheetId="2" hidden="1">1</definedName>
    <definedName name="solver_num" localSheetId="2" hidden="1">0</definedName>
    <definedName name="solver_opt" localSheetId="2" hidden="1">Dev!$B$35</definedName>
    <definedName name="solver_typ" localSheetId="2" hidden="1">1</definedName>
    <definedName name="solver_val" localSheetId="2" hidden="1">0</definedName>
    <definedName name="solver_ver" localSheetId="2" hidden="1">3</definedName>
    <definedName name="thresh">Dev!$D$4</definedName>
    <definedName name="tol">Dev!$D$3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4" i="6" l="1"/>
  <c r="B30" i="6"/>
  <c r="B32" i="6"/>
  <c r="B24" i="6"/>
  <c r="B34" i="4"/>
  <c r="B33" i="4"/>
  <c r="B32" i="4"/>
  <c r="D121" i="6"/>
  <c r="D171" i="6"/>
  <c r="D170" i="6"/>
  <c r="D169" i="6"/>
  <c r="D168" i="6"/>
  <c r="D160" i="6"/>
  <c r="D158" i="6"/>
  <c r="D157" i="6"/>
  <c r="D147" i="6"/>
  <c r="D148" i="6" s="1"/>
  <c r="D149" i="6" s="1"/>
  <c r="D135" i="6"/>
  <c r="D146" i="6"/>
  <c r="D137" i="6"/>
  <c r="D138" i="6" s="1"/>
  <c r="D134" i="6"/>
  <c r="D136" i="6" s="1"/>
  <c r="D122" i="6"/>
  <c r="D123" i="6" s="1"/>
  <c r="D120" i="6"/>
  <c r="E19" i="6"/>
  <c r="B170" i="6"/>
  <c r="B135" i="6"/>
  <c r="B120" i="6"/>
  <c r="B171" i="6"/>
  <c r="B169" i="6"/>
  <c r="E20" i="6"/>
  <c r="B121" i="6"/>
  <c r="E21" i="6"/>
  <c r="B168" i="6"/>
  <c r="D159" i="6" l="1"/>
  <c r="D124" i="6"/>
  <c r="B14" i="6"/>
  <c r="B28" i="6"/>
  <c r="B16" i="6"/>
  <c r="F92" i="6"/>
  <c r="B92" i="6"/>
  <c r="F84" i="6"/>
  <c r="B84" i="6"/>
  <c r="B80" i="6" s="1"/>
  <c r="A2" i="6" l="1"/>
  <c r="B146" i="6"/>
  <c r="B134" i="6"/>
  <c r="B123" i="6"/>
  <c r="B124" i="6"/>
  <c r="B138" i="6"/>
  <c r="B147" i="6"/>
  <c r="B159" i="6"/>
  <c r="B149" i="6"/>
  <c r="B160" i="6"/>
  <c r="B137" i="6"/>
  <c r="B157" i="6"/>
  <c r="B148" i="6"/>
  <c r="B122" i="6"/>
  <c r="B136" i="6"/>
  <c r="B158" i="6"/>
  <c r="D7" i="4" l="1"/>
  <c r="E7" i="4" s="1"/>
  <c r="F7" i="4" s="1"/>
  <c r="F27" i="2"/>
  <c r="F24" i="2"/>
  <c r="F41" i="2"/>
  <c r="F30" i="2"/>
  <c r="F34" i="2"/>
  <c r="F31" i="2"/>
  <c r="F39" i="2"/>
  <c r="F38" i="2"/>
  <c r="F23" i="2"/>
  <c r="F32" i="2"/>
  <c r="F40" i="2"/>
  <c r="F25" i="2"/>
  <c r="F33" i="2"/>
  <c r="F22" i="2"/>
  <c r="F36" i="2"/>
  <c r="F26" i="2"/>
  <c r="F37" i="2"/>
  <c r="F28" i="2"/>
  <c r="F29" i="2"/>
  <c r="F35" i="2"/>
  <c r="G7" i="4" l="1"/>
  <c r="H7" i="4" l="1"/>
  <c r="D8" i="4"/>
  <c r="E8" i="4" l="1"/>
  <c r="F8" i="4" s="1"/>
  <c r="G8" i="4" s="1"/>
  <c r="I7" i="4" s="1" a="1"/>
  <c r="I7" i="4" s="1"/>
  <c r="D9" i="4"/>
  <c r="H8" i="4" l="1"/>
  <c r="E9" i="4"/>
  <c r="F9" i="4" s="1"/>
  <c r="G9" i="4" s="1"/>
  <c r="D10" i="4"/>
  <c r="H9" i="4" l="1"/>
  <c r="E10" i="4"/>
  <c r="F10" i="4" s="1"/>
  <c r="G10" i="4" s="1"/>
  <c r="D11" i="4"/>
  <c r="H10" i="4" l="1"/>
  <c r="E11" i="4"/>
  <c r="F11" i="4" s="1"/>
  <c r="G11" i="4" s="1"/>
  <c r="D12" i="4"/>
  <c r="H11" i="4" l="1"/>
  <c r="E12" i="4"/>
  <c r="F12" i="4" s="1"/>
  <c r="G12" i="4" s="1"/>
  <c r="D13" i="4"/>
  <c r="H12" i="4" l="1"/>
  <c r="E13" i="4"/>
  <c r="F13" i="4" s="1"/>
  <c r="G13" i="4" s="1"/>
  <c r="D14" i="4"/>
  <c r="H13" i="4" l="1"/>
  <c r="E14" i="4"/>
  <c r="F14" i="4" s="1"/>
  <c r="G14" i="4" s="1"/>
  <c r="D15" i="4"/>
  <c r="H14" i="4" l="1"/>
  <c r="E15" i="4"/>
  <c r="F15" i="4" s="1"/>
  <c r="G15" i="4" s="1"/>
  <c r="D16" i="4"/>
  <c r="H15" i="4" l="1"/>
  <c r="E16" i="4"/>
  <c r="F16" i="4" s="1"/>
  <c r="G16" i="4" s="1"/>
  <c r="D17" i="4"/>
  <c r="H16" i="4" l="1"/>
  <c r="E17" i="4"/>
  <c r="F17" i="4" s="1"/>
  <c r="G17" i="4" s="1"/>
  <c r="D18" i="4"/>
  <c r="H17" i="4" l="1"/>
  <c r="E18" i="4"/>
  <c r="F18" i="4" s="1"/>
  <c r="G18" i="4" s="1"/>
  <c r="D19" i="4"/>
  <c r="H18" i="4" l="1"/>
  <c r="E19" i="4"/>
  <c r="F19" i="4" s="1"/>
  <c r="G19" i="4" s="1"/>
  <c r="D20" i="4"/>
  <c r="H19" i="4" l="1"/>
  <c r="E20" i="4"/>
  <c r="F20" i="4" s="1"/>
  <c r="G20" i="4" s="1"/>
  <c r="D21" i="4"/>
  <c r="H20" i="4" l="1"/>
  <c r="E21" i="4"/>
  <c r="F21" i="4" s="1"/>
  <c r="G21" i="4" s="1"/>
  <c r="D22" i="4"/>
  <c r="H21" i="4" l="1"/>
  <c r="E22" i="4"/>
  <c r="F22" i="4" s="1"/>
  <c r="G22" i="4" s="1"/>
  <c r="D23" i="4"/>
  <c r="H22" i="4" l="1"/>
  <c r="E23" i="4"/>
  <c r="F23" i="4" s="1"/>
  <c r="G23" i="4" s="1"/>
  <c r="D24" i="4"/>
  <c r="H23" i="4" l="1"/>
  <c r="E24" i="4"/>
  <c r="F24" i="4" s="1"/>
  <c r="G24" i="4" s="1"/>
  <c r="D25" i="4"/>
  <c r="H24" i="4" l="1"/>
  <c r="E25" i="4"/>
  <c r="F25" i="4" s="1"/>
  <c r="G25" i="4" s="1"/>
  <c r="D27" i="4"/>
  <c r="D26" i="4"/>
  <c r="D2" i="4" l="1"/>
  <c r="D4" i="4" s="1"/>
  <c r="H25" i="4"/>
  <c r="E27" i="4"/>
  <c r="F27" i="4" s="1"/>
  <c r="G27" i="4" s="1"/>
  <c r="E26" i="4"/>
  <c r="F26" i="4" s="1"/>
  <c r="G26" i="4" s="1"/>
  <c r="I8" i="4" l="1" a="1"/>
  <c r="I8" i="4" s="1"/>
  <c r="I10" i="4" a="1"/>
  <c r="I10" i="4" s="1"/>
  <c r="I12" i="4" a="1"/>
  <c r="I12" i="4" s="1"/>
  <c r="I14" i="4" a="1"/>
  <c r="I14" i="4" s="1"/>
  <c r="I16" i="4" a="1"/>
  <c r="I16" i="4" s="1"/>
  <c r="I18" i="4" a="1"/>
  <c r="I18" i="4" s="1"/>
  <c r="I20" i="4" a="1"/>
  <c r="I20" i="4" s="1"/>
  <c r="I22" i="4" a="1"/>
  <c r="I22" i="4" s="1"/>
  <c r="I24" i="4" a="1"/>
  <c r="I24" i="4" s="1"/>
  <c r="I9" i="4" a="1"/>
  <c r="I9" i="4" s="1"/>
  <c r="I11" i="4" a="1"/>
  <c r="I11" i="4" s="1"/>
  <c r="I13" i="4" a="1"/>
  <c r="I13" i="4" s="1"/>
  <c r="I15" i="4" a="1"/>
  <c r="I15" i="4" s="1"/>
  <c r="I17" i="4" a="1"/>
  <c r="I17" i="4" s="1"/>
  <c r="I19" i="4" a="1"/>
  <c r="I19" i="4" s="1"/>
  <c r="I21" i="4" a="1"/>
  <c r="I21" i="4" s="1"/>
  <c r="I23" i="4" a="1"/>
  <c r="I23" i="4" s="1"/>
  <c r="I25" i="4" a="1"/>
  <c r="I25" i="4" s="1"/>
  <c r="G2" i="4"/>
  <c r="G3" i="4"/>
  <c r="H26" i="4"/>
  <c r="I26" i="4" s="1" a="1"/>
  <c r="I26" i="4" s="1"/>
  <c r="H27" i="4"/>
  <c r="I27" i="4" s="1" a="1"/>
  <c r="I27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<sst xmlns="http://schemas.openxmlformats.org/spreadsheetml/2006/main" count="125" uniqueCount="115">
  <si>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</si>
  <si>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</si>
  <si>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</si>
  <si>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</si>
  <si>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</si>
  <si>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</si>
  <si>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</si>
  <si>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</si>
  <si>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</si>
  <si>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</si>
  <si>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</si>
  <si>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</si>
  <si>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</si>
  <si>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</si>
  <si>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</si>
  <si>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</si>
  <si>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</si>
  <si>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Implement an Algorithm in Excel</t>
  </si>
  <si>
    <r>
      <rPr>
        <b/>
        <i/>
        <sz val="12"/>
        <color theme="1"/>
        <rFont val="Calibri"/>
        <family val="2"/>
        <scheme val="minor"/>
      </rPr>
      <t>x</t>
    </r>
    <r>
      <rPr>
        <b/>
        <sz val="12"/>
        <color theme="1"/>
        <rFont val="Calibri"/>
        <family val="2"/>
        <scheme val="minor"/>
      </rPr>
      <t xml:space="preserve"> (input)</t>
    </r>
  </si>
  <si>
    <r>
      <rPr>
        <b/>
        <i/>
        <sz val="12"/>
        <color theme="1"/>
        <rFont val="Calibri"/>
        <family val="2"/>
        <scheme val="minor"/>
      </rPr>
      <t>r</t>
    </r>
    <r>
      <rPr>
        <b/>
        <vertAlign val="subscript"/>
        <sz val="12"/>
        <color theme="1"/>
        <rFont val="Calibri"/>
        <family val="2"/>
        <scheme val="minor"/>
      </rPr>
      <t>0</t>
    </r>
    <r>
      <rPr>
        <b/>
        <sz val="12"/>
        <color theme="1"/>
        <rFont val="Calibri"/>
        <family val="2"/>
        <scheme val="minor"/>
      </rPr>
      <t xml:space="preserve"> (initial guess)</t>
    </r>
  </si>
  <si>
    <r>
      <rPr>
        <b/>
        <i/>
        <sz val="12"/>
        <color theme="1"/>
        <rFont val="Calibri"/>
        <family val="2"/>
        <scheme val="minor"/>
      </rPr>
      <t>r</t>
    </r>
    <r>
      <rPr>
        <b/>
        <vertAlign val="subscript"/>
        <sz val="12"/>
        <color theme="1"/>
        <rFont val="Calibri"/>
        <family val="2"/>
        <scheme val="minor"/>
      </rPr>
      <t>20</t>
    </r>
    <r>
      <rPr>
        <b/>
        <sz val="12"/>
        <color theme="1"/>
        <rFont val="Calibri"/>
        <family val="2"/>
        <scheme val="minor"/>
      </rPr>
      <t xml:space="preserve"> (final output)</t>
    </r>
  </si>
  <si>
    <t>Formula text</t>
  </si>
  <si>
    <t>r_i</t>
  </si>
  <si>
    <t>i</t>
  </si>
  <si>
    <t>abs</t>
  </si>
  <si>
    <t>log10</t>
  </si>
  <si>
    <t>rounded</t>
  </si>
  <si>
    <t>label text</t>
  </si>
  <si>
    <t>label (inc. line breaks)</t>
  </si>
  <si>
    <t>thresh</t>
  </si>
  <si>
    <t>tol</t>
  </si>
  <si>
    <t>range</t>
  </si>
  <si>
    <t>y0</t>
  </si>
  <si>
    <t>y1</t>
  </si>
  <si>
    <t>r18</t>
  </si>
  <si>
    <t>r19</t>
  </si>
  <si>
    <t>x label</t>
  </si>
  <si>
    <t>r0</t>
  </si>
  <si>
    <t>r20</t>
  </si>
  <si>
    <t>Formula</t>
  </si>
  <si>
    <t>Output</t>
  </si>
  <si>
    <t>Relative and absolute cell references</t>
  </si>
  <si>
    <t>West</t>
  </si>
  <si>
    <t>North</t>
  </si>
  <si>
    <t>North-east</t>
  </si>
  <si>
    <t>North-west</t>
  </si>
  <si>
    <t>Central</t>
  </si>
  <si>
    <t>East</t>
  </si>
  <si>
    <t>South</t>
  </si>
  <si>
    <t>South-west</t>
  </si>
  <si>
    <t>South-east</t>
  </si>
  <si>
    <t>=A1</t>
  </si>
  <si>
    <t>=$A$1</t>
  </si>
  <si>
    <t>=$A1</t>
  </si>
  <si>
    <t>=A$1</t>
  </si>
  <si>
    <t>Relative column, relative row</t>
  </si>
  <si>
    <t>Absolute column, absolute row</t>
  </si>
  <si>
    <t>We can reference a cell value in an Excel formula by typing the address of that cell.</t>
  </si>
  <si>
    <t>Relative cell references</t>
  </si>
  <si>
    <t>Absolute cell references</t>
  </si>
  <si>
    <r>
      <t xml:space="preserve">Excel gives us the option to lock a cell reference. A locked cell reference does not change when the formula cell is copied and pasted. This is called an </t>
    </r>
    <r>
      <rPr>
        <b/>
        <sz val="11"/>
        <color theme="1"/>
        <rFont val="Calibri"/>
        <family val="2"/>
        <scheme val="minor"/>
      </rPr>
      <t>absolute</t>
    </r>
    <r>
      <rPr>
        <sz val="11"/>
        <color theme="1"/>
        <rFont val="Calibri"/>
        <family val="2"/>
        <scheme val="minor"/>
      </rPr>
      <t xml:space="preserve"> cell reference.</t>
    </r>
  </si>
  <si>
    <t>Further reading</t>
  </si>
  <si>
    <t>Switch between relative and absolute references (Microsoft.com)</t>
  </si>
  <si>
    <r>
      <t xml:space="preserve">We can lock a cell reference by putting the </t>
    </r>
    <r>
      <rPr>
        <b/>
        <sz val="11"/>
        <color theme="1"/>
        <rFont val="Calibri"/>
        <family val="2"/>
        <scheme val="minor"/>
      </rPr>
      <t>$</t>
    </r>
    <r>
      <rPr>
        <sz val="11"/>
        <color theme="1"/>
        <rFont val="Calibri"/>
        <family val="2"/>
        <scheme val="minor"/>
      </rPr>
      <t xml:space="preserve"> symbol before the row, the column, or both. </t>
    </r>
  </si>
  <si>
    <t>Neither column A nor row 1 is locked</t>
  </si>
  <si>
    <t>Both column A and row 1 are locked</t>
  </si>
  <si>
    <r>
      <t xml:space="preserve">Absolute column, </t>
    </r>
    <r>
      <rPr>
        <sz val="11"/>
        <color theme="1"/>
        <rFont val="Calibri"/>
        <family val="2"/>
        <scheme val="minor"/>
      </rPr>
      <t>relative row</t>
    </r>
  </si>
  <si>
    <r>
      <rPr>
        <sz val="11"/>
        <color theme="1"/>
        <rFont val="Calibri"/>
        <family val="2"/>
        <scheme val="minor"/>
      </rPr>
      <t>Relative column,</t>
    </r>
    <r>
      <rPr>
        <b/>
        <sz val="11"/>
        <color theme="1"/>
        <rFont val="Calibri"/>
        <family val="2"/>
        <scheme val="minor"/>
      </rPr>
      <t xml:space="preserve"> absolute row</t>
    </r>
  </si>
  <si>
    <r>
      <rPr>
        <b/>
        <i/>
        <sz val="11"/>
        <color rgb="FF305496"/>
        <rFont val="Calibri"/>
        <family val="2"/>
        <scheme val="minor"/>
      </rPr>
      <t>Column A is locked;</t>
    </r>
    <r>
      <rPr>
        <i/>
        <sz val="11"/>
        <color rgb="FF305496"/>
        <rFont val="Calibri"/>
        <family val="2"/>
        <scheme val="minor"/>
      </rPr>
      <t xml:space="preserve"> row 1 is not locked</t>
    </r>
  </si>
  <si>
    <r>
      <t xml:space="preserve">Column A is not locked; </t>
    </r>
    <r>
      <rPr>
        <b/>
        <i/>
        <sz val="11"/>
        <color rgb="FF305496"/>
        <rFont val="Calibri"/>
        <family val="2"/>
        <scheme val="minor"/>
      </rPr>
      <t>row 1 is locked</t>
    </r>
  </si>
  <si>
    <t>Follow the instructions below to observe the behaviour of relative cell references.</t>
  </si>
  <si>
    <t>Experiment with the four types of cell referencing in the space below.</t>
  </si>
  <si>
    <r>
      <rPr>
        <b/>
        <sz val="11"/>
        <color theme="1"/>
        <rFont val="Calibri"/>
        <family val="2"/>
        <scheme val="minor"/>
      </rPr>
      <t>Absolute column,</t>
    </r>
    <r>
      <rPr>
        <sz val="11"/>
        <color theme="1"/>
        <rFont val="Calibri"/>
        <family val="2"/>
        <scheme val="minor"/>
      </rPr>
      <t xml:space="preserve"> relative row</t>
    </r>
  </si>
  <si>
    <r>
      <t xml:space="preserve">Relative column, </t>
    </r>
    <r>
      <rPr>
        <b/>
        <sz val="11"/>
        <color theme="1"/>
        <rFont val="Calibri"/>
        <family val="2"/>
        <scheme val="minor"/>
      </rPr>
      <t>absolute row</t>
    </r>
  </si>
  <si>
    <t>Before you copy each formula, predict what the output will look like.</t>
  </si>
  <si>
    <t>Mathematical operators</t>
  </si>
  <si>
    <t>In this activity, you will need to use mathematical operators in an Excel formula.</t>
  </si>
  <si>
    <t>=number1 + number2</t>
  </si>
  <si>
    <r>
      <rPr>
        <b/>
        <sz val="11"/>
        <color theme="1"/>
        <rFont val="Calibri"/>
        <family val="2"/>
        <scheme val="minor"/>
      </rPr>
      <t>`+`</t>
    </r>
    <r>
      <rPr>
        <sz val="11"/>
        <color theme="1"/>
        <rFont val="Calibri"/>
        <family val="2"/>
        <scheme val="minor"/>
      </rPr>
      <t xml:space="preserve"> performs addition</t>
    </r>
  </si>
  <si>
    <r>
      <t>`-`</t>
    </r>
    <r>
      <rPr>
        <sz val="11"/>
        <color theme="1"/>
        <rFont val="Calibri"/>
        <family val="2"/>
        <scheme val="minor"/>
      </rPr>
      <t xml:space="preserve"> performs subtraction or negation</t>
    </r>
  </si>
  <si>
    <t>=number1 - number2</t>
  </si>
  <si>
    <t>=-number1</t>
  </si>
  <si>
    <r>
      <t>`*`</t>
    </r>
    <r>
      <rPr>
        <sz val="11"/>
        <color theme="1"/>
        <rFont val="Calibri"/>
        <family val="2"/>
        <scheme val="minor"/>
      </rPr>
      <t xml:space="preserve"> performs multiplication</t>
    </r>
  </si>
  <si>
    <r>
      <t>`/`</t>
    </r>
    <r>
      <rPr>
        <sz val="11"/>
        <color theme="1"/>
        <rFont val="Calibri"/>
        <family val="2"/>
        <scheme val="minor"/>
      </rPr>
      <t xml:space="preserve"> performs division</t>
    </r>
  </si>
  <si>
    <t>=number1 * number2</t>
  </si>
  <si>
    <t>=number1 / number2</t>
  </si>
  <si>
    <r>
      <rPr>
        <sz val="11"/>
        <color theme="1"/>
        <rFont val="Calibri"/>
        <family val="2"/>
        <scheme val="minor"/>
      </rPr>
      <t>Brackets</t>
    </r>
    <r>
      <rPr>
        <b/>
        <sz val="11"/>
        <color theme="1"/>
        <rFont val="Calibri"/>
        <family val="2"/>
        <scheme val="minor"/>
      </rPr>
      <t xml:space="preserve"> `(`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`)`</t>
    </r>
    <r>
      <rPr>
        <sz val="11"/>
        <color theme="1"/>
        <rFont val="Calibri"/>
        <family val="2"/>
        <scheme val="minor"/>
      </rPr>
      <t xml:space="preserve"> are used to specify the order of operations</t>
    </r>
  </si>
  <si>
    <t>=(numeric_expression)</t>
  </si>
  <si>
    <t>SHAPE LABELS--DO NOT DELETE</t>
  </si>
  <si>
    <t>TEST 1</t>
  </si>
  <si>
    <t>TEST 2</t>
  </si>
  <si>
    <t>TEST 3</t>
  </si>
  <si>
    <t>Note that the referencing cell does not need to be in the same row or column as the referenced cell.</t>
  </si>
  <si>
    <t>A relative cell reference can be thought of as "relative driving directions" rather than an exact cell address. In the previous example, the driving directions are "up 1, left 2".</t>
  </si>
  <si>
    <r>
      <rPr>
        <b/>
        <i/>
        <sz val="11"/>
        <color theme="1"/>
        <rFont val="Calibri"/>
        <family val="2"/>
        <scheme val="minor"/>
      </rPr>
      <t>i</t>
    </r>
    <r>
      <rPr>
        <b/>
        <sz val="11"/>
        <color theme="1"/>
        <rFont val="Calibri"/>
        <family val="2"/>
        <scheme val="minor"/>
      </rPr>
      <t xml:space="preserve"> (index number)</t>
    </r>
  </si>
  <si>
    <r>
      <rPr>
        <i/>
        <sz val="12"/>
        <color theme="1"/>
        <rFont val="Calibri"/>
        <family val="2"/>
        <scheme val="minor"/>
      </rPr>
      <t>r</t>
    </r>
    <r>
      <rPr>
        <vertAlign val="subscript"/>
        <sz val="12"/>
        <color theme="1"/>
        <rFont val="Calibri"/>
        <family val="2"/>
        <scheme val="minor"/>
      </rPr>
      <t>1</t>
    </r>
  </si>
  <si>
    <r>
      <rPr>
        <i/>
        <sz val="12"/>
        <color theme="1"/>
        <rFont val="Calibri"/>
        <family val="2"/>
        <scheme val="minor"/>
      </rPr>
      <t>r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/>
    </r>
  </si>
  <si>
    <r>
      <rPr>
        <i/>
        <sz val="12"/>
        <color theme="1"/>
        <rFont val="Calibri"/>
        <family val="2"/>
        <scheme val="minor"/>
      </rPr>
      <t>r</t>
    </r>
    <r>
      <rPr>
        <vertAlign val="subscript"/>
        <sz val="12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/>
    </r>
  </si>
  <si>
    <r>
      <rPr>
        <i/>
        <sz val="12"/>
        <color theme="1"/>
        <rFont val="Calibri"/>
        <family val="2"/>
        <scheme val="minor"/>
      </rPr>
      <t>r</t>
    </r>
    <r>
      <rPr>
        <vertAlign val="subscript"/>
        <sz val="12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/>
    </r>
  </si>
  <si>
    <r>
      <rPr>
        <i/>
        <sz val="12"/>
        <color theme="1"/>
        <rFont val="Calibri"/>
        <family val="2"/>
        <scheme val="minor"/>
      </rPr>
      <t>r</t>
    </r>
    <r>
      <rPr>
        <vertAlign val="subscript"/>
        <sz val="12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/>
    </r>
  </si>
  <si>
    <r>
      <rPr>
        <i/>
        <sz val="12"/>
        <color theme="1"/>
        <rFont val="Calibri"/>
        <family val="2"/>
        <scheme val="minor"/>
      </rPr>
      <t>r</t>
    </r>
    <r>
      <rPr>
        <vertAlign val="subscript"/>
        <sz val="12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/>
    </r>
  </si>
  <si>
    <r>
      <rPr>
        <i/>
        <sz val="12"/>
        <color theme="1"/>
        <rFont val="Calibri"/>
        <family val="2"/>
        <scheme val="minor"/>
      </rPr>
      <t>r</t>
    </r>
    <r>
      <rPr>
        <vertAlign val="subscript"/>
        <sz val="12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/>
    </r>
  </si>
  <si>
    <r>
      <rPr>
        <i/>
        <sz val="12"/>
        <color theme="1"/>
        <rFont val="Calibri"/>
        <family val="2"/>
        <scheme val="minor"/>
      </rPr>
      <t>r</t>
    </r>
    <r>
      <rPr>
        <vertAlign val="subscript"/>
        <sz val="12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/>
    </r>
  </si>
  <si>
    <r>
      <rPr>
        <i/>
        <sz val="12"/>
        <color theme="1"/>
        <rFont val="Calibri"/>
        <family val="2"/>
        <scheme val="minor"/>
      </rPr>
      <t>r</t>
    </r>
    <r>
      <rPr>
        <vertAlign val="subscript"/>
        <sz val="12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/>
    </r>
  </si>
  <si>
    <r>
      <rPr>
        <i/>
        <sz val="12"/>
        <color theme="1"/>
        <rFont val="Calibri"/>
        <family val="2"/>
        <scheme val="minor"/>
      </rPr>
      <t>r</t>
    </r>
    <r>
      <rPr>
        <vertAlign val="subscript"/>
        <sz val="12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/>
    </r>
  </si>
  <si>
    <r>
      <rPr>
        <i/>
        <sz val="12"/>
        <color theme="1"/>
        <rFont val="Calibri"/>
        <family val="2"/>
        <scheme val="minor"/>
      </rPr>
      <t>r</t>
    </r>
    <r>
      <rPr>
        <vertAlign val="subscript"/>
        <sz val="12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/>
    </r>
  </si>
  <si>
    <r>
      <rPr>
        <i/>
        <sz val="12"/>
        <color theme="1"/>
        <rFont val="Calibri"/>
        <family val="2"/>
        <scheme val="minor"/>
      </rPr>
      <t>r</t>
    </r>
    <r>
      <rPr>
        <vertAlign val="subscript"/>
        <sz val="12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/>
    </r>
  </si>
  <si>
    <r>
      <rPr>
        <i/>
        <sz val="12"/>
        <color theme="1"/>
        <rFont val="Calibri"/>
        <family val="2"/>
        <scheme val="minor"/>
      </rPr>
      <t>r</t>
    </r>
    <r>
      <rPr>
        <vertAlign val="subscript"/>
        <sz val="12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/>
    </r>
  </si>
  <si>
    <r>
      <rPr>
        <i/>
        <sz val="12"/>
        <color theme="1"/>
        <rFont val="Calibri"/>
        <family val="2"/>
        <scheme val="minor"/>
      </rPr>
      <t>r</t>
    </r>
    <r>
      <rPr>
        <vertAlign val="subscript"/>
        <sz val="12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/>
    </r>
  </si>
  <si>
    <r>
      <rPr>
        <i/>
        <sz val="12"/>
        <color theme="1"/>
        <rFont val="Calibri"/>
        <family val="2"/>
        <scheme val="minor"/>
      </rPr>
      <t>r</t>
    </r>
    <r>
      <rPr>
        <vertAlign val="subscript"/>
        <sz val="12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/>
    </r>
  </si>
  <si>
    <r>
      <rPr>
        <i/>
        <sz val="12"/>
        <color theme="1"/>
        <rFont val="Calibri"/>
        <family val="2"/>
        <scheme val="minor"/>
      </rPr>
      <t>r</t>
    </r>
    <r>
      <rPr>
        <vertAlign val="subscript"/>
        <sz val="12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/>
    </r>
  </si>
  <si>
    <r>
      <rPr>
        <i/>
        <sz val="12"/>
        <color theme="1"/>
        <rFont val="Calibri"/>
        <family val="2"/>
        <scheme val="minor"/>
      </rPr>
      <t>r</t>
    </r>
    <r>
      <rPr>
        <vertAlign val="subscript"/>
        <sz val="12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/>
    </r>
  </si>
  <si>
    <r>
      <rPr>
        <i/>
        <sz val="12"/>
        <color theme="1"/>
        <rFont val="Calibri"/>
        <family val="2"/>
        <scheme val="minor"/>
      </rPr>
      <t>r</t>
    </r>
    <r>
      <rPr>
        <vertAlign val="subscript"/>
        <sz val="12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/>
    </r>
  </si>
  <si>
    <r>
      <rPr>
        <i/>
        <sz val="12"/>
        <color theme="1"/>
        <rFont val="Calibri"/>
        <family val="2"/>
        <scheme val="minor"/>
      </rPr>
      <t>r</t>
    </r>
    <r>
      <rPr>
        <vertAlign val="subscript"/>
        <sz val="12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/>
    </r>
  </si>
  <si>
    <r>
      <rPr>
        <b/>
        <i/>
        <sz val="12"/>
        <color theme="1"/>
        <rFont val="Calibri"/>
        <family val="2"/>
        <scheme val="minor"/>
      </rPr>
      <t>r</t>
    </r>
    <r>
      <rPr>
        <b/>
        <i/>
        <vertAlign val="subscript"/>
        <sz val="12"/>
        <color theme="1"/>
        <rFont val="Calibri"/>
        <family val="2"/>
        <scheme val="minor"/>
      </rPr>
      <t>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</si>
</sst>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3" formatCode="_-* #,##0.00_-;\-* #,##0.00_-;_-* &quot;-&quot;??_-;_-@_-"/>
  </numFmts>
  <fonts count="40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8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vertAlign val="subscript"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 tint="-0.249977111117893"/>
      <name val="Calibri"/>
      <family val="2"/>
      <scheme val="minor"/>
    </font>
    <font>
      <b/>
      <sz val="12"/>
      <color theme="1" tint="4.9989318521683403E-2"/>
      <name val="Calibri"/>
      <family val="2"/>
      <scheme val="minor"/>
    </font>
    <font>
      <b/>
      <sz val="12"/>
      <color theme="0" tint="-0.249977111117893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C9FFFF"/>
      <name val="Calibri"/>
      <family val="2"/>
      <scheme val="minor"/>
    </font>
    <font>
      <b/>
      <sz val="16"/>
      <color rgb="FF004050"/>
      <name val="Calibri"/>
      <family val="2"/>
      <scheme val="minor"/>
    </font>
    <font>
      <b/>
      <sz val="11"/>
      <color theme="1"/>
      <name val="Consolas"/>
      <family val="3"/>
    </font>
    <font>
      <u/>
      <sz val="11"/>
      <color theme="1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i/>
      <sz val="11"/>
      <color rgb="FF305496"/>
      <name val="Calibri"/>
      <family val="2"/>
      <scheme val="minor"/>
    </font>
    <font>
      <sz val="10"/>
      <name val="Arial"/>
      <family val="2"/>
    </font>
    <font>
      <i/>
      <sz val="11"/>
      <color rgb="FF305496"/>
      <name val="Calibri"/>
      <family val="2"/>
      <scheme val="minor"/>
    </font>
    <font>
      <i/>
      <sz val="11"/>
      <color theme="4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vertAlign val="subscript"/>
      <sz val="12"/>
      <color theme="1"/>
      <name val="Calibri"/>
      <family val="2"/>
      <scheme val="minor"/>
    </font>
    <font>
      <b/>
      <i/>
      <vertAlign val="subscript"/>
      <sz val="12"/>
      <color theme="1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8D237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4050"/>
        <bgColor indexed="64"/>
      </patternFill>
    </fill>
    <fill>
      <patternFill patternType="solid">
        <fgColor rgb="FF217EA7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0F3FA"/>
        <bgColor indexed="64"/>
      </patternFill>
    </fill>
    <fill>
      <patternFill patternType="solid">
        <fgColor rgb="FFFDF2C3"/>
        <bgColor indexed="64"/>
      </patternFill>
    </fill>
  </fills>
  <borders count="57">
    <border>
      <left/>
      <right/>
      <top/>
      <bottom/>
      <diagonal/>
    </border>
    <border>
      <left style="thick">
        <color rgb="FFF3622C"/>
      </left>
      <right style="thick">
        <color rgb="FFF3622C"/>
      </right>
      <top style="thick">
        <color rgb="FFF3622C"/>
      </top>
      <bottom style="thick">
        <color rgb="FFF3622C"/>
      </bottom>
      <diagonal/>
    </border>
    <border>
      <left style="thick">
        <color rgb="FF305496"/>
      </left>
      <right style="thick">
        <color rgb="FF305496"/>
      </right>
      <top style="thick">
        <color rgb="FF305496"/>
      </top>
      <bottom style="thick">
        <color rgb="FF305496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217346"/>
      </left>
      <right/>
      <top style="medium">
        <color rgb="FF217346"/>
      </top>
      <bottom style="medium">
        <color rgb="FF217346"/>
      </bottom>
      <diagonal/>
    </border>
    <border>
      <left/>
      <right/>
      <top style="medium">
        <color rgb="FF217346"/>
      </top>
      <bottom style="medium">
        <color rgb="FF217346"/>
      </bottom>
      <diagonal/>
    </border>
    <border>
      <left/>
      <right style="medium">
        <color rgb="FF217346"/>
      </right>
      <top style="medium">
        <color rgb="FF217346"/>
      </top>
      <bottom style="medium">
        <color rgb="FF217346"/>
      </bottom>
      <diagonal/>
    </border>
    <border>
      <left style="thin">
        <color rgb="FF305496"/>
      </left>
      <right/>
      <top style="thin">
        <color rgb="FF305496"/>
      </top>
      <bottom style="thin">
        <color rgb="FF305496"/>
      </bottom>
      <diagonal/>
    </border>
    <border>
      <left/>
      <right/>
      <top style="thin">
        <color rgb="FF305496"/>
      </top>
      <bottom style="thin">
        <color rgb="FF305496"/>
      </bottom>
      <diagonal/>
    </border>
    <border>
      <left/>
      <right style="thin">
        <color rgb="FF305496"/>
      </right>
      <top style="thin">
        <color rgb="FF305496"/>
      </top>
      <bottom style="thin">
        <color rgb="FF305496"/>
      </bottom>
      <diagonal/>
    </border>
    <border>
      <left style="thin">
        <color rgb="FF305496"/>
      </left>
      <right/>
      <top style="thin">
        <color rgb="FF305496"/>
      </top>
      <bottom/>
      <diagonal/>
    </border>
    <border>
      <left/>
      <right/>
      <top style="thin">
        <color rgb="FF305496"/>
      </top>
      <bottom/>
      <diagonal/>
    </border>
    <border>
      <left/>
      <right style="thin">
        <color rgb="FF305496"/>
      </right>
      <top/>
      <bottom/>
      <diagonal/>
    </border>
    <border>
      <left style="thin">
        <color rgb="FF305496"/>
      </left>
      <right/>
      <top/>
      <bottom/>
      <diagonal/>
    </border>
    <border>
      <left style="thin">
        <color rgb="FF305496"/>
      </left>
      <right/>
      <top/>
      <bottom style="thin">
        <color rgb="FF305496"/>
      </bottom>
      <diagonal/>
    </border>
    <border>
      <left/>
      <right/>
      <top/>
      <bottom style="thin">
        <color rgb="FF305496"/>
      </bottom>
      <diagonal/>
    </border>
    <border>
      <left/>
      <right style="thin">
        <color rgb="FF305496"/>
      </right>
      <top/>
      <bottom style="thin">
        <color rgb="FF305496"/>
      </bottom>
      <diagonal/>
    </border>
    <border>
      <left style="thick">
        <color rgb="FF305496"/>
      </left>
      <right style="hair">
        <color rgb="FF305496"/>
      </right>
      <top style="thick">
        <color rgb="FF305496"/>
      </top>
      <bottom style="hair">
        <color rgb="FF305496"/>
      </bottom>
      <diagonal/>
    </border>
    <border>
      <left style="hair">
        <color rgb="FF305496"/>
      </left>
      <right style="hair">
        <color rgb="FF305496"/>
      </right>
      <top style="thick">
        <color rgb="FF305496"/>
      </top>
      <bottom style="hair">
        <color rgb="FF305496"/>
      </bottom>
      <diagonal/>
    </border>
    <border>
      <left style="hair">
        <color rgb="FF305496"/>
      </left>
      <right style="thick">
        <color rgb="FF305496"/>
      </right>
      <top style="thick">
        <color rgb="FF305496"/>
      </top>
      <bottom style="hair">
        <color rgb="FF305496"/>
      </bottom>
      <diagonal/>
    </border>
    <border>
      <left style="thick">
        <color rgb="FF305496"/>
      </left>
      <right style="hair">
        <color rgb="FF305496"/>
      </right>
      <top style="hair">
        <color rgb="FF305496"/>
      </top>
      <bottom style="hair">
        <color rgb="FF305496"/>
      </bottom>
      <diagonal/>
    </border>
    <border>
      <left style="hair">
        <color rgb="FF305496"/>
      </left>
      <right style="hair">
        <color rgb="FF305496"/>
      </right>
      <top style="hair">
        <color rgb="FF305496"/>
      </top>
      <bottom style="hair">
        <color rgb="FF305496"/>
      </bottom>
      <diagonal/>
    </border>
    <border>
      <left style="hair">
        <color rgb="FF305496"/>
      </left>
      <right style="thick">
        <color rgb="FF305496"/>
      </right>
      <top style="hair">
        <color rgb="FF305496"/>
      </top>
      <bottom style="hair">
        <color rgb="FF305496"/>
      </bottom>
      <diagonal/>
    </border>
    <border>
      <left style="thick">
        <color rgb="FF305496"/>
      </left>
      <right style="hair">
        <color rgb="FF305496"/>
      </right>
      <top style="hair">
        <color rgb="FF305496"/>
      </top>
      <bottom style="thick">
        <color rgb="FF305496"/>
      </bottom>
      <diagonal/>
    </border>
    <border>
      <left style="hair">
        <color rgb="FF305496"/>
      </left>
      <right style="hair">
        <color rgb="FF305496"/>
      </right>
      <top style="hair">
        <color rgb="FF305496"/>
      </top>
      <bottom style="thick">
        <color rgb="FF305496"/>
      </bottom>
      <diagonal/>
    </border>
    <border>
      <left style="hair">
        <color rgb="FF305496"/>
      </left>
      <right style="thick">
        <color rgb="FF305496"/>
      </right>
      <top style="hair">
        <color rgb="FF305496"/>
      </top>
      <bottom style="thick">
        <color rgb="FF305496"/>
      </bottom>
      <diagonal/>
    </border>
    <border>
      <left style="hair">
        <color rgb="FFF8AE28"/>
      </left>
      <right style="hair">
        <color rgb="FFF8AE28"/>
      </right>
      <top style="thin">
        <color rgb="FFF8AE28"/>
      </top>
      <bottom style="hair">
        <color rgb="FFF8AE28"/>
      </bottom>
      <diagonal/>
    </border>
    <border>
      <left style="hair">
        <color rgb="FFF8AE28"/>
      </left>
      <right style="thin">
        <color rgb="FFF8AE28"/>
      </right>
      <top style="thin">
        <color rgb="FFF8AE28"/>
      </top>
      <bottom style="hair">
        <color rgb="FFF8AE28"/>
      </bottom>
      <diagonal/>
    </border>
    <border>
      <left style="thin">
        <color rgb="FFF8AE28"/>
      </left>
      <right style="hair">
        <color rgb="FFF8AE28"/>
      </right>
      <top style="hair">
        <color rgb="FFF8AE28"/>
      </top>
      <bottom style="hair">
        <color rgb="FFF8AE28"/>
      </bottom>
      <diagonal/>
    </border>
    <border>
      <left style="hair">
        <color rgb="FFF8AE28"/>
      </left>
      <right style="hair">
        <color rgb="FFF8AE28"/>
      </right>
      <top style="hair">
        <color rgb="FFF8AE28"/>
      </top>
      <bottom style="hair">
        <color rgb="FFF8AE28"/>
      </bottom>
      <diagonal/>
    </border>
    <border>
      <left style="hair">
        <color rgb="FFF8AE28"/>
      </left>
      <right style="thin">
        <color rgb="FFF8AE28"/>
      </right>
      <top style="hair">
        <color rgb="FFF8AE28"/>
      </top>
      <bottom style="hair">
        <color rgb="FFF8AE28"/>
      </bottom>
      <diagonal/>
    </border>
    <border>
      <left style="thin">
        <color rgb="FFF8AE28"/>
      </left>
      <right style="hair">
        <color rgb="FFF8AE28"/>
      </right>
      <top style="hair">
        <color rgb="FFF8AE28"/>
      </top>
      <bottom style="thin">
        <color rgb="FFF8AE28"/>
      </bottom>
      <diagonal/>
    </border>
    <border>
      <left style="hair">
        <color rgb="FFF8AE28"/>
      </left>
      <right style="hair">
        <color rgb="FFF8AE28"/>
      </right>
      <top style="hair">
        <color rgb="FFF8AE28"/>
      </top>
      <bottom style="thin">
        <color rgb="FFF8AE28"/>
      </bottom>
      <diagonal/>
    </border>
    <border>
      <left style="hair">
        <color rgb="FFF8AE28"/>
      </left>
      <right style="thin">
        <color rgb="FFF8AE28"/>
      </right>
      <top style="hair">
        <color rgb="FFF8AE28"/>
      </top>
      <bottom style="thin">
        <color rgb="FFF8AE28"/>
      </bottom>
      <diagonal/>
    </border>
    <border>
      <left style="medium">
        <color rgb="FF305496"/>
      </left>
      <right/>
      <top style="medium">
        <color rgb="FF305496"/>
      </top>
      <bottom/>
      <diagonal/>
    </border>
    <border>
      <left/>
      <right/>
      <top style="medium">
        <color rgb="FF305496"/>
      </top>
      <bottom/>
      <diagonal/>
    </border>
    <border>
      <left/>
      <right style="medium">
        <color rgb="FF305496"/>
      </right>
      <top style="medium">
        <color rgb="FF305496"/>
      </top>
      <bottom/>
      <diagonal/>
    </border>
    <border>
      <left style="medium">
        <color rgb="FF305496"/>
      </left>
      <right/>
      <top/>
      <bottom/>
      <diagonal/>
    </border>
    <border>
      <left/>
      <right style="medium">
        <color rgb="FF305496"/>
      </right>
      <top/>
      <bottom/>
      <diagonal/>
    </border>
    <border>
      <left style="medium">
        <color rgb="FF305496"/>
      </left>
      <right/>
      <top/>
      <bottom style="medium">
        <color rgb="FF305496"/>
      </bottom>
      <diagonal/>
    </border>
    <border>
      <left/>
      <right/>
      <top/>
      <bottom style="medium">
        <color rgb="FF305496"/>
      </bottom>
      <diagonal/>
    </border>
    <border>
      <left/>
      <right style="medium">
        <color rgb="FF305496"/>
      </right>
      <top/>
      <bottom style="medium">
        <color rgb="FF305496"/>
      </bottom>
      <diagonal/>
    </border>
    <border>
      <left style="medium">
        <color rgb="FF305496"/>
      </left>
      <right/>
      <top style="medium">
        <color rgb="FF305496"/>
      </top>
      <bottom style="medium">
        <color rgb="FF305496"/>
      </bottom>
      <diagonal/>
    </border>
    <border>
      <left/>
      <right/>
      <top style="medium">
        <color rgb="FF305496"/>
      </top>
      <bottom style="medium">
        <color rgb="FF305496"/>
      </bottom>
      <diagonal/>
    </border>
    <border>
      <left/>
      <right style="medium">
        <color rgb="FF305496"/>
      </right>
      <top style="medium">
        <color rgb="FF305496"/>
      </top>
      <bottom style="medium">
        <color rgb="FF305496"/>
      </bottom>
      <diagonal/>
    </border>
    <border>
      <left style="thin">
        <color rgb="FFF8AE28"/>
      </left>
      <right style="thin">
        <color rgb="FFF8AE28"/>
      </right>
      <top style="thick">
        <color rgb="FFF3622C"/>
      </top>
      <bottom style="hair">
        <color rgb="FFF8AE28"/>
      </bottom>
      <diagonal/>
    </border>
    <border>
      <left style="thin">
        <color rgb="FFF8AE28"/>
      </left>
      <right style="thin">
        <color rgb="FFF8AE28"/>
      </right>
      <top style="hair">
        <color rgb="FFF8AE28"/>
      </top>
      <bottom style="thin">
        <color rgb="FFF8AE28"/>
      </bottom>
      <diagonal/>
    </border>
    <border>
      <left style="thin">
        <color rgb="FF305496"/>
      </left>
      <right style="thin">
        <color rgb="FF305496"/>
      </right>
      <top style="thick">
        <color rgb="FF305496"/>
      </top>
      <bottom style="hair">
        <color rgb="FF305496"/>
      </bottom>
      <diagonal/>
    </border>
    <border>
      <left style="thin">
        <color rgb="FF305496"/>
      </left>
      <right style="thin">
        <color rgb="FF305496"/>
      </right>
      <top style="hair">
        <color rgb="FF305496"/>
      </top>
      <bottom style="thin">
        <color rgb="FF305496"/>
      </bottom>
      <diagonal/>
    </border>
  </borders>
  <cellStyleXfs count="1164">
    <xf numFmtId="0" fontId="0" fillId="0" borderId="0"/>
    <xf numFmtId="0" fontId="1" fillId="2" borderId="0" applyNumberFormat="0" applyBorder="0" applyAlignment="0" applyProtection="0"/>
    <xf numFmtId="0" fontId="12" fillId="0" borderId="0" applyNumberFormat="0" applyFill="0" applyBorder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5" fillId="0" borderId="5" applyNumberFormat="0" applyFill="0" applyAlignment="0" applyProtection="0"/>
    <xf numFmtId="0" fontId="15" fillId="0" borderId="0" applyNumberFormat="0" applyFill="0" applyBorder="0" applyAlignment="0" applyProtection="0"/>
    <xf numFmtId="0" fontId="16" fillId="5" borderId="0" applyNumberFormat="0" applyBorder="0" applyAlignment="0" applyProtection="0"/>
    <xf numFmtId="0" fontId="17" fillId="6" borderId="0" applyNumberFormat="0" applyBorder="0" applyAlignment="0" applyProtection="0"/>
    <xf numFmtId="0" fontId="18" fillId="7" borderId="6" applyNumberFormat="0" applyAlignment="0" applyProtection="0"/>
    <xf numFmtId="0" fontId="19" fillId="8" borderId="7" applyNumberFormat="0" applyAlignment="0" applyProtection="0"/>
    <xf numFmtId="0" fontId="20" fillId="8" borderId="6" applyNumberFormat="0" applyAlignment="0" applyProtection="0"/>
    <xf numFmtId="0" fontId="21" fillId="0" borderId="8" applyNumberFormat="0" applyFill="0" applyAlignment="0" applyProtection="0"/>
    <xf numFmtId="0" fontId="22" fillId="9" borderId="9" applyNumberFormat="0" applyAlignment="0" applyProtection="0"/>
    <xf numFmtId="0" fontId="23" fillId="0" borderId="0" applyNumberFormat="0" applyFill="0" applyBorder="0" applyAlignment="0" applyProtection="0"/>
    <xf numFmtId="0" fontId="11" fillId="10" borderId="10" applyNumberFormat="0" applyFont="0" applyAlignment="0" applyProtection="0"/>
    <xf numFmtId="0" fontId="24" fillId="0" borderId="0" applyNumberFormat="0" applyFill="0" applyBorder="0" applyAlignment="0" applyProtection="0"/>
    <xf numFmtId="0" fontId="25" fillId="0" borderId="11" applyNumberFormat="0" applyFill="0" applyAlignment="0" applyProtection="0"/>
    <xf numFmtId="0" fontId="26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26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26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26" fillId="23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26" fillId="27" borderId="0" applyNumberFormat="0" applyBorder="0" applyAlignment="0" applyProtection="0"/>
    <xf numFmtId="0" fontId="11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26" fillId="31" borderId="0" applyNumberFormat="0" applyBorder="0" applyAlignment="0" applyProtection="0"/>
    <xf numFmtId="0" fontId="11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30" fillId="0" borderId="0" applyNumberForma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33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</cellStyleXfs>
  <cellXfs count="84">
    <xf numFmtId="0" fontId="0" fillId="0" borderId="0" xfId="0"/>
    <xf numFmtId="0" fontId="1" fillId="2" borderId="0" xfId="1"/>
    <xf numFmtId="0" fontId="25" fillId="0" borderId="0" xfId="0" applyFont="1"/>
    <xf numFmtId="0" fontId="25" fillId="3" borderId="1" xfId="0" applyFont="1" applyFill="1" applyBorder="1" applyAlignment="1" applyProtection="1">
      <alignment horizontal="center" vertical="center"/>
      <protection locked="0"/>
    </xf>
    <xf numFmtId="0" fontId="0" fillId="4" borderId="46" xfId="0" applyFill="1" applyBorder="1" applyAlignment="1" applyProtection="1">
      <alignment horizontal="left" vertical="top" wrapText="1"/>
      <protection hidden="1"/>
    </xf>
    <xf numFmtId="0" fontId="0" fillId="4" borderId="0" xfId="0" applyFill="1" applyAlignment="1" applyProtection="1">
      <alignment horizontal="left" vertical="top" wrapText="1"/>
      <protection hidden="1"/>
    </xf>
    <xf numFmtId="0" fontId="0" fillId="4" borderId="45" xfId="0" applyFill="1" applyBorder="1" applyAlignment="1" applyProtection="1">
      <alignment horizontal="left" vertical="top" wrapText="1"/>
      <protection hidden="1"/>
    </xf>
    <xf numFmtId="0" fontId="25" fillId="38" borderId="2" xfId="0" applyFont="1" applyFill="1" applyBorder="1" applyAlignment="1">
      <alignment horizontal="center" vertical="center"/>
    </xf>
    <xf numFmtId="0" fontId="25" fillId="39" borderId="25" xfId="0" applyFont="1" applyFill="1" applyBorder="1" applyAlignment="1">
      <alignment horizontal="center" vertical="center"/>
    </xf>
    <xf numFmtId="0" fontId="25" fillId="39" borderId="26" xfId="0" applyFont="1" applyFill="1" applyBorder="1" applyAlignment="1">
      <alignment horizontal="center" vertical="center"/>
    </xf>
    <xf numFmtId="0" fontId="25" fillId="39" borderId="27" xfId="0" applyFont="1" applyFill="1" applyBorder="1" applyAlignment="1">
      <alignment horizontal="center" vertical="center"/>
    </xf>
    <xf numFmtId="0" fontId="25" fillId="39" borderId="28" xfId="0" applyFont="1" applyFill="1" applyBorder="1" applyAlignment="1">
      <alignment horizontal="center" vertical="center"/>
    </xf>
    <xf numFmtId="0" fontId="25" fillId="39" borderId="29" xfId="0" applyFont="1" applyFill="1" applyBorder="1" applyAlignment="1">
      <alignment horizontal="center" vertical="center"/>
    </xf>
    <xf numFmtId="0" fontId="25" fillId="39" borderId="30" xfId="0" applyFont="1" applyFill="1" applyBorder="1" applyAlignment="1">
      <alignment horizontal="center" vertical="center"/>
    </xf>
    <xf numFmtId="0" fontId="25" fillId="39" borderId="31" xfId="0" applyFont="1" applyFill="1" applyBorder="1" applyAlignment="1">
      <alignment horizontal="center" vertical="center"/>
    </xf>
    <xf numFmtId="0" fontId="25" fillId="39" borderId="32" xfId="0" applyFont="1" applyFill="1" applyBorder="1" applyAlignment="1">
      <alignment horizontal="center" vertical="center"/>
    </xf>
    <xf numFmtId="0" fontId="25" fillId="39" borderId="33" xfId="0" applyFont="1" applyFill="1" applyBorder="1" applyAlignment="1">
      <alignment horizontal="center" vertical="center"/>
    </xf>
    <xf numFmtId="0" fontId="31" fillId="0" borderId="0" xfId="0" quotePrefix="1" applyFont="1" applyAlignment="1">
      <alignment vertical="center"/>
    </xf>
    <xf numFmtId="0" fontId="0" fillId="0" borderId="0" xfId="0" applyAlignment="1">
      <alignment vertical="center"/>
    </xf>
    <xf numFmtId="0" fontId="34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32" fillId="0" borderId="0" xfId="0" applyFont="1" applyAlignment="1">
      <alignment vertical="center"/>
    </xf>
    <xf numFmtId="0" fontId="31" fillId="0" borderId="0" xfId="0" quotePrefix="1" applyFont="1"/>
    <xf numFmtId="0" fontId="30" fillId="0" borderId="0" xfId="42" applyProtection="1"/>
    <xf numFmtId="0" fontId="0" fillId="0" borderId="0" xfId="0" quotePrefix="1"/>
    <xf numFmtId="0" fontId="22" fillId="37" borderId="17" xfId="0" applyFont="1" applyFill="1" applyBorder="1"/>
    <xf numFmtId="0" fontId="0" fillId="38" borderId="20" xfId="0" applyFill="1" applyBorder="1"/>
    <xf numFmtId="0" fontId="0" fillId="38" borderId="24" xfId="0" applyFill="1" applyBorder="1"/>
    <xf numFmtId="0" fontId="25" fillId="40" borderId="34" xfId="0" applyFont="1" applyFill="1" applyBorder="1" applyAlignment="1" applyProtection="1">
      <alignment horizontal="center" vertical="center"/>
      <protection locked="0"/>
    </xf>
    <xf numFmtId="0" fontId="25" fillId="40" borderId="35" xfId="0" applyFont="1" applyFill="1" applyBorder="1" applyAlignment="1" applyProtection="1">
      <alignment horizontal="center" vertical="center"/>
      <protection locked="0"/>
    </xf>
    <xf numFmtId="0" fontId="25" fillId="40" borderId="36" xfId="0" applyFont="1" applyFill="1" applyBorder="1" applyAlignment="1" applyProtection="1">
      <alignment horizontal="center" vertical="center"/>
      <protection locked="0"/>
    </xf>
    <xf numFmtId="0" fontId="25" fillId="40" borderId="37" xfId="0" applyFont="1" applyFill="1" applyBorder="1" applyAlignment="1" applyProtection="1">
      <alignment horizontal="center" vertical="center"/>
      <protection locked="0"/>
    </xf>
    <xf numFmtId="0" fontId="25" fillId="40" borderId="38" xfId="0" applyFont="1" applyFill="1" applyBorder="1" applyAlignment="1" applyProtection="1">
      <alignment horizontal="center" vertical="center"/>
      <protection locked="0"/>
    </xf>
    <xf numFmtId="0" fontId="25" fillId="40" borderId="39" xfId="0" applyFont="1" applyFill="1" applyBorder="1" applyAlignment="1" applyProtection="1">
      <alignment horizontal="center" vertical="center"/>
      <protection locked="0"/>
    </xf>
    <xf numFmtId="0" fontId="25" fillId="40" borderId="40" xfId="0" applyFont="1" applyFill="1" applyBorder="1" applyAlignment="1" applyProtection="1">
      <alignment horizontal="center" vertical="center"/>
      <protection locked="0"/>
    </xf>
    <xf numFmtId="0" fontId="25" fillId="40" borderId="41" xfId="0" applyFont="1" applyFill="1" applyBorder="1" applyAlignment="1" applyProtection="1">
      <alignment horizontal="center" vertical="center"/>
      <protection locked="0"/>
    </xf>
    <xf numFmtId="0" fontId="4" fillId="0" borderId="0" xfId="0" applyFont="1"/>
    <xf numFmtId="0" fontId="10" fillId="0" borderId="0" xfId="0" quotePrefix="1" applyFont="1"/>
    <xf numFmtId="0" fontId="8" fillId="0" borderId="0" xfId="0" quotePrefix="1" applyFont="1"/>
    <xf numFmtId="0" fontId="9" fillId="3" borderId="1" xfId="0" applyFont="1" applyFill="1" applyBorder="1" applyAlignment="1" applyProtection="1">
      <alignment vertical="center" wrapText="1" shrinkToFit="1"/>
      <protection locked="0"/>
    </xf>
    <xf numFmtId="0" fontId="0" fillId="0" borderId="0" xfId="0" applyProtection="1">
      <protection locked="0"/>
    </xf>
    <xf numFmtId="0" fontId="3" fillId="0" borderId="0" xfId="0" applyFont="1" applyProtection="1">
      <protection locked="0"/>
    </xf>
    <xf numFmtId="0" fontId="23" fillId="0" borderId="0" xfId="0" applyFont="1"/>
    <xf numFmtId="0" fontId="25" fillId="40" borderId="53" xfId="0" applyFont="1" applyFill="1" applyBorder="1" applyAlignment="1" applyProtection="1">
      <alignment horizontal="center" vertical="center"/>
      <protection locked="0"/>
    </xf>
    <xf numFmtId="0" fontId="25" fillId="40" borderId="54" xfId="0" applyFont="1" applyFill="1" applyBorder="1" applyAlignment="1" applyProtection="1">
      <alignment horizontal="center" vertical="center"/>
      <protection locked="0"/>
    </xf>
    <xf numFmtId="0" fontId="25" fillId="39" borderId="55" xfId="0" applyFont="1" applyFill="1" applyBorder="1" applyAlignment="1">
      <alignment horizontal="center" vertical="center"/>
    </xf>
    <xf numFmtId="0" fontId="25" fillId="39" borderId="56" xfId="0" applyFont="1" applyFill="1" applyBorder="1" applyAlignment="1">
      <alignment horizontal="center" vertical="center"/>
    </xf>
    <xf numFmtId="0" fontId="35" fillId="0" borderId="0" xfId="0" applyFont="1"/>
    <xf numFmtId="0" fontId="27" fillId="35" borderId="0" xfId="0" applyFont="1" applyFill="1"/>
    <xf numFmtId="0" fontId="28" fillId="36" borderId="0" xfId="0" applyFont="1" applyFill="1"/>
    <xf numFmtId="0" fontId="25" fillId="0" borderId="0" xfId="0" applyFont="1" applyProtection="1">
      <protection locked="0"/>
    </xf>
    <xf numFmtId="0" fontId="7" fillId="0" borderId="0" xfId="0" applyFont="1"/>
    <xf numFmtId="0" fontId="5" fillId="0" borderId="0" xfId="0" applyFont="1"/>
    <xf numFmtId="0" fontId="7" fillId="0" borderId="0" xfId="0" applyFont="1" applyProtection="1">
      <protection locked="0"/>
    </xf>
    <xf numFmtId="0" fontId="9" fillId="4" borderId="2" xfId="0" applyFont="1" applyFill="1" applyBorder="1" applyAlignment="1" applyProtection="1">
      <alignment vertical="center" wrapText="1" shrinkToFit="1"/>
      <protection locked="0"/>
    </xf>
    <xf numFmtId="0" fontId="27" fillId="35" borderId="0" xfId="0" applyFont="1" applyFill="1" applyAlignment="1">
      <alignment horizontal="left"/>
    </xf>
    <xf numFmtId="0" fontId="28" fillId="36" borderId="0" xfId="0" applyFont="1" applyFill="1" applyAlignment="1">
      <alignment horizontal="left"/>
    </xf>
    <xf numFmtId="0" fontId="0" fillId="4" borderId="42" xfId="0" applyFill="1" applyBorder="1" applyAlignment="1" applyProtection="1">
      <alignment horizontal="left" vertical="top" wrapText="1"/>
      <protection hidden="1"/>
    </xf>
    <xf numFmtId="0" fontId="0" fillId="4" borderId="43" xfId="0" applyFill="1" applyBorder="1" applyAlignment="1" applyProtection="1">
      <alignment horizontal="left" vertical="top" wrapText="1"/>
      <protection hidden="1"/>
    </xf>
    <xf numFmtId="0" fontId="0" fillId="4" borderId="44" xfId="0" applyFill="1" applyBorder="1" applyAlignment="1" applyProtection="1">
      <alignment horizontal="left" vertical="top" wrapText="1"/>
      <protection hidden="1"/>
    </xf>
    <xf numFmtId="0" fontId="0" fillId="38" borderId="47" xfId="0" applyFill="1" applyBorder="1" applyAlignment="1" applyProtection="1">
      <alignment horizontal="left" vertical="top" wrapText="1"/>
      <protection hidden="1"/>
    </xf>
    <xf numFmtId="0" fontId="0" fillId="38" borderId="48" xfId="0" applyFill="1" applyBorder="1" applyAlignment="1" applyProtection="1">
      <alignment horizontal="left" vertical="top" wrapText="1"/>
      <protection hidden="1"/>
    </xf>
    <xf numFmtId="0" fontId="0" fillId="38" borderId="49" xfId="0" applyFill="1" applyBorder="1" applyAlignment="1" applyProtection="1">
      <alignment horizontal="left" vertical="top" wrapText="1"/>
      <protection hidden="1"/>
    </xf>
    <xf numFmtId="0" fontId="0" fillId="4" borderId="45" xfId="0" applyFill="1" applyBorder="1" applyAlignment="1" applyProtection="1">
      <alignment horizontal="left" vertical="top" wrapText="1"/>
      <protection hidden="1"/>
    </xf>
    <xf numFmtId="0" fontId="0" fillId="4" borderId="0" xfId="0" applyFill="1" applyAlignment="1" applyProtection="1">
      <alignment horizontal="left" vertical="top" wrapText="1"/>
      <protection hidden="1"/>
    </xf>
    <xf numFmtId="0" fontId="0" fillId="4" borderId="46" xfId="0" applyFill="1" applyBorder="1" applyAlignment="1" applyProtection="1">
      <alignment horizontal="left" vertical="top" wrapText="1"/>
      <protection hidden="1"/>
    </xf>
    <xf numFmtId="0" fontId="0" fillId="0" borderId="22" xfId="0" quotePrefix="1" applyBorder="1" applyAlignment="1">
      <alignment horizontal="left" indent="1"/>
    </xf>
    <xf numFmtId="0" fontId="0" fillId="0" borderId="23" xfId="0" quotePrefix="1" applyBorder="1" applyAlignment="1">
      <alignment horizontal="left" indent="1"/>
    </xf>
    <xf numFmtId="0" fontId="29" fillId="0" borderId="12" xfId="0" quotePrefix="1" applyFont="1" applyBorder="1" applyAlignment="1">
      <alignment horizontal="left" indent="1"/>
    </xf>
    <xf numFmtId="0" fontId="29" fillId="0" borderId="13" xfId="0" quotePrefix="1" applyFont="1" applyBorder="1" applyAlignment="1">
      <alignment horizontal="left" indent="1"/>
    </xf>
    <xf numFmtId="0" fontId="29" fillId="0" borderId="14" xfId="0" quotePrefix="1" applyFont="1" applyBorder="1" applyAlignment="1">
      <alignment horizontal="left" indent="1"/>
    </xf>
    <xf numFmtId="0" fontId="22" fillId="37" borderId="15" xfId="0" quotePrefix="1" applyFont="1" applyFill="1" applyBorder="1" applyAlignment="1">
      <alignment horizontal="left"/>
    </xf>
    <xf numFmtId="0" fontId="22" fillId="37" borderId="16" xfId="0" quotePrefix="1" applyFont="1" applyFill="1" applyBorder="1" applyAlignment="1">
      <alignment horizontal="left"/>
    </xf>
    <xf numFmtId="0" fontId="0" fillId="0" borderId="18" xfId="0" quotePrefix="1" applyBorder="1" applyAlignment="1">
      <alignment horizontal="left" indent="1"/>
    </xf>
    <xf numFmtId="0" fontId="0" fillId="0" borderId="19" xfId="0" quotePrefix="1" applyBorder="1" applyAlignment="1">
      <alignment horizontal="left" indent="1"/>
    </xf>
    <xf numFmtId="0" fontId="0" fillId="0" borderId="21" xfId="0" quotePrefix="1" applyBorder="1" applyAlignment="1">
      <alignment horizontal="left" indent="1"/>
    </xf>
    <xf numFmtId="0" fontId="0" fillId="0" borderId="0" xfId="0" quotePrefix="1" applyAlignment="1">
      <alignment horizontal="left" indent="1"/>
    </xf>
    <xf numFmtId="0" fontId="0" fillId="4" borderId="50" xfId="0" applyFill="1" applyBorder="1" applyAlignment="1" applyProtection="1">
      <alignment horizontal="left" vertical="top" wrapText="1"/>
      <protection hidden="1"/>
    </xf>
    <xf numFmtId="0" fontId="0" fillId="4" borderId="51" xfId="0" applyFill="1" applyBorder="1" applyAlignment="1" applyProtection="1">
      <alignment horizontal="left" vertical="top" wrapText="1"/>
      <protection hidden="1"/>
    </xf>
    <xf numFmtId="0" fontId="0" fillId="4" borderId="52" xfId="0" applyFill="1" applyBorder="1" applyAlignment="1" applyProtection="1">
      <alignment horizontal="left" vertical="top" wrapText="1"/>
      <protection hidden="1"/>
    </xf>
    <xf numFmtId="0" fontId="0" fillId="0" borderId="0" xfId="0" applyAlignment="1">
      <alignment horizontal="left" vertical="top" wrapText="1"/>
    </xf>
    <xf numFmtId="0" fontId="0" fillId="38" borderId="50" xfId="0" applyFill="1" applyBorder="1" applyAlignment="1" applyProtection="1">
      <alignment horizontal="left" vertical="top" wrapText="1"/>
      <protection hidden="1"/>
    </xf>
    <xf numFmtId="0" fontId="0" fillId="38" borderId="51" xfId="0" applyFill="1" applyBorder="1" applyAlignment="1" applyProtection="1">
      <alignment horizontal="left" vertical="top" wrapText="1"/>
      <protection hidden="1"/>
    </xf>
    <xf numFmtId="0" fontId="0" fillId="38" borderId="52" xfId="0" applyFill="1" applyBorder="1" applyAlignment="1" applyProtection="1">
      <alignment horizontal="left" vertical="top" wrapText="1"/>
      <protection hidden="1"/>
    </xf>
  </cellXfs>
  <cellStyles count="116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1" builtinId="22" customBuiltin="1"/>
    <cellStyle name="Check Cell" xfId="13" builtinId="23" customBuiltin="1"/>
    <cellStyle name="Comma 2" xfId="120" xr:uid="{AD63C64A-229F-48CB-BF3B-0E48071A69E0}"/>
    <cellStyle name="Comma 2 10" xfId="568" xr:uid="{0114032F-8B3A-4A00-95F3-7195DEB466D8}"/>
    <cellStyle name="Comma 2 10 2" xfId="1016" xr:uid="{4D87F1F6-B1A3-492A-B8E7-7977CC31EA85}"/>
    <cellStyle name="Comma 2 11" xfId="344" xr:uid="{0F23CED3-E7BD-491A-8DB3-3E33B8F77CC6}"/>
    <cellStyle name="Comma 2 12" xfId="792" xr:uid="{1F27A473-6410-4E45-BB6D-25ED5E2DBC1E}"/>
    <cellStyle name="Comma 2 2" xfId="43" xr:uid="{63199658-6496-4738-A773-4B652E735B23}"/>
    <cellStyle name="Comma 2 2 10" xfId="268" xr:uid="{304C45A5-F196-4E45-B097-6D8917D3C610}"/>
    <cellStyle name="Comma 2 2 11" xfId="716" xr:uid="{F5256CC2-6E1F-4428-A1AE-017CDDF4D733}"/>
    <cellStyle name="Comma 2 2 2" xfId="45" xr:uid="{E9E9D786-4CD5-41A4-8EEE-EAC1B5A24A96}"/>
    <cellStyle name="Comma 2 2 2 2" xfId="51" xr:uid="{C79A3084-FBDE-4682-BB61-0A006C42BF2B}"/>
    <cellStyle name="Comma 2 2 2 2 2" xfId="63" xr:uid="{FAD11FF0-D6B8-43BD-8D1F-D83A20446BF5}"/>
    <cellStyle name="Comma 2 2 2 2 2 2" xfId="86" xr:uid="{E8EE4A57-B035-4552-BD22-CED2D24B44A0}"/>
    <cellStyle name="Comma 2 2 2 2 2 2 2" xfId="141" xr:uid="{0197EFBD-7511-4E67-8DED-BD46EBB73E73}"/>
    <cellStyle name="Comma 2 2 2 2 2 2 2 2" xfId="253" xr:uid="{E8D6D17D-DDEA-40F1-98A4-D118A942A6A2}"/>
    <cellStyle name="Comma 2 2 2 2 2 2 2 2 2" xfId="701" xr:uid="{D43B7511-3972-4758-A6C9-BD9FCE78AC16}"/>
    <cellStyle name="Comma 2 2 2 2 2 2 2 2 2 2" xfId="1149" xr:uid="{D81FD98A-AC58-46E5-A703-989ADE7FB067}"/>
    <cellStyle name="Comma 2 2 2 2 2 2 2 2 3" xfId="477" xr:uid="{C7E9D262-AEED-4586-8E24-8DA76C3C8373}"/>
    <cellStyle name="Comma 2 2 2 2 2 2 2 2 4" xfId="925" xr:uid="{33AB14CB-D6DF-428F-8C16-EDF3057DD5A5}"/>
    <cellStyle name="Comma 2 2 2 2 2 2 2 3" xfId="589" xr:uid="{45BCC190-95BF-47DF-928F-DE9140206C79}"/>
    <cellStyle name="Comma 2 2 2 2 2 2 2 3 2" xfId="1037" xr:uid="{5C513B73-CAE0-49B1-8C9C-50AA439E6B94}"/>
    <cellStyle name="Comma 2 2 2 2 2 2 2 4" xfId="365" xr:uid="{30890940-D3D3-4539-AE35-74B9636115D1}"/>
    <cellStyle name="Comma 2 2 2 2 2 2 2 5" xfId="813" xr:uid="{FAB88BAF-5774-4B75-A41E-595D93B873F9}"/>
    <cellStyle name="Comma 2 2 2 2 2 2 3" xfId="199" xr:uid="{95FDAE9E-FCA2-424D-B814-863CBD7D94D4}"/>
    <cellStyle name="Comma 2 2 2 2 2 2 3 2" xfId="647" xr:uid="{12693E22-B6F0-4BC4-9CDE-B4A7634DEBAD}"/>
    <cellStyle name="Comma 2 2 2 2 2 2 3 2 2" xfId="1095" xr:uid="{13498664-EC34-428D-891B-9C420135DB1F}"/>
    <cellStyle name="Comma 2 2 2 2 2 2 3 3" xfId="423" xr:uid="{C9F53C69-B81B-48EB-A5D1-EF3A5955B0D4}"/>
    <cellStyle name="Comma 2 2 2 2 2 2 3 4" xfId="871" xr:uid="{7A87BEE3-1424-4E9D-969D-C7C632913CE7}"/>
    <cellStyle name="Comma 2 2 2 2 2 2 4" xfId="535" xr:uid="{DE6B8F12-A218-4364-BF40-F149FFCB60E7}"/>
    <cellStyle name="Comma 2 2 2 2 2 2 4 2" xfId="983" xr:uid="{88FD7B9A-825F-446B-8FF6-EEED1A4B26CB}"/>
    <cellStyle name="Comma 2 2 2 2 2 2 5" xfId="311" xr:uid="{D206061E-FCD9-4F9A-A93D-AD4080805A49}"/>
    <cellStyle name="Comma 2 2 2 2 2 2 6" xfId="759" xr:uid="{938C1665-F997-48F7-8DBC-5F977E14540B}"/>
    <cellStyle name="Comma 2 2 2 2 2 3" xfId="115" xr:uid="{196CE0C6-C55F-45FB-8638-D3C3653C40CA}"/>
    <cellStyle name="Comma 2 2 2 2 2 3 2" xfId="228" xr:uid="{76D4691B-7A78-44D2-8442-F5FEFC3DD328}"/>
    <cellStyle name="Comma 2 2 2 2 2 3 2 2" xfId="676" xr:uid="{99D55AAB-2C99-4E5F-852F-2F93C00DBB61}"/>
    <cellStyle name="Comma 2 2 2 2 2 3 2 2 2" xfId="1124" xr:uid="{4C74CDC6-A5D6-41B8-A201-3C4709A41C71}"/>
    <cellStyle name="Comma 2 2 2 2 2 3 2 3" xfId="452" xr:uid="{5C3D963F-7599-4DA7-BC45-271396C794C3}"/>
    <cellStyle name="Comma 2 2 2 2 2 3 2 4" xfId="900" xr:uid="{ECDD8EAE-2379-4BD8-9117-15BD54EA691E}"/>
    <cellStyle name="Comma 2 2 2 2 2 3 3" xfId="564" xr:uid="{507AE244-F81B-49BB-99DD-4BCEE9EE80A4}"/>
    <cellStyle name="Comma 2 2 2 2 2 3 3 2" xfId="1012" xr:uid="{A731E81B-5963-4608-9F97-6E5ABD6FC897}"/>
    <cellStyle name="Comma 2 2 2 2 2 3 4" xfId="340" xr:uid="{B1E6C5A0-DF04-4886-8160-A9267FFB714A}"/>
    <cellStyle name="Comma 2 2 2 2 2 3 5" xfId="788" xr:uid="{FEEE24E0-9EEC-4B65-A511-EDE6C4AA3E9E}"/>
    <cellStyle name="Comma 2 2 2 2 2 4" xfId="176" xr:uid="{D382E017-4410-4341-B022-866FF23CA9D6}"/>
    <cellStyle name="Comma 2 2 2 2 2 4 2" xfId="624" xr:uid="{7BCA8FB5-1485-4D85-BE99-3AAF71B97F39}"/>
    <cellStyle name="Comma 2 2 2 2 2 4 2 2" xfId="1072" xr:uid="{0C433F33-0ED9-47B0-A0EE-18F43F54E20D}"/>
    <cellStyle name="Comma 2 2 2 2 2 4 3" xfId="400" xr:uid="{9207396E-C0BB-4177-AE47-60D3A90C0A4C}"/>
    <cellStyle name="Comma 2 2 2 2 2 4 4" xfId="848" xr:uid="{02AC8678-98EA-443D-8C34-BE9D2CBDD380}"/>
    <cellStyle name="Comma 2 2 2 2 2 5" xfId="512" xr:uid="{91EF0CF4-7886-4D16-B09D-612E02C7243A}"/>
    <cellStyle name="Comma 2 2 2 2 2 5 2" xfId="960" xr:uid="{CBFFDD2A-5500-4352-9AC3-47556F2EBA78}"/>
    <cellStyle name="Comma 2 2 2 2 2 6" xfId="288" xr:uid="{CBD82274-8FDD-4690-A392-931519667114}"/>
    <cellStyle name="Comma 2 2 2 2 2 7" xfId="736" xr:uid="{00B7E8F7-9F7F-49BC-9BB1-2730451360A6}"/>
    <cellStyle name="Comma 2 2 2 2 3" xfId="74" xr:uid="{CE39B835-9991-4F4C-9D4B-6D39AF2D2244}"/>
    <cellStyle name="Comma 2 2 2 2 3 2" xfId="129" xr:uid="{D26A1116-D441-4221-9D75-485B34201835}"/>
    <cellStyle name="Comma 2 2 2 2 3 2 2" xfId="241" xr:uid="{57139388-CF2A-4B01-886F-09199A1B526B}"/>
    <cellStyle name="Comma 2 2 2 2 3 2 2 2" xfId="689" xr:uid="{9D568DA7-3135-4E0D-A961-38D41A503DE4}"/>
    <cellStyle name="Comma 2 2 2 2 3 2 2 2 2" xfId="1137" xr:uid="{30EEE851-5AE0-4628-9E09-D575C8444EB6}"/>
    <cellStyle name="Comma 2 2 2 2 3 2 2 3" xfId="465" xr:uid="{5660BF8E-A01C-4201-AE6E-54749CD74D50}"/>
    <cellStyle name="Comma 2 2 2 2 3 2 2 4" xfId="913" xr:uid="{6E5BEBE5-BDE9-4246-85A0-18C5F7B1A61E}"/>
    <cellStyle name="Comma 2 2 2 2 3 2 3" xfId="577" xr:uid="{9A0B3973-4272-4872-848A-989A8F86206D}"/>
    <cellStyle name="Comma 2 2 2 2 3 2 3 2" xfId="1025" xr:uid="{2DEDFF54-E1C9-4B78-A4CC-8A87935EB661}"/>
    <cellStyle name="Comma 2 2 2 2 3 2 4" xfId="353" xr:uid="{32E8477A-0E40-4C59-BDCD-47C4D4CF9C6F}"/>
    <cellStyle name="Comma 2 2 2 2 3 2 5" xfId="801" xr:uid="{FD46B233-5399-4F2D-B43B-342E6A0B9FFE}"/>
    <cellStyle name="Comma 2 2 2 2 3 3" xfId="187" xr:uid="{963303F4-B7E0-4015-8ABA-DA50D167E409}"/>
    <cellStyle name="Comma 2 2 2 2 3 3 2" xfId="635" xr:uid="{4F77535C-FAEF-4D8B-B7BE-500B5A2D215D}"/>
    <cellStyle name="Comma 2 2 2 2 3 3 2 2" xfId="1083" xr:uid="{776D00AA-582D-478F-93EB-727CBE1EBD43}"/>
    <cellStyle name="Comma 2 2 2 2 3 3 3" xfId="411" xr:uid="{AC33C550-ADE8-4B54-B173-411A05B045C3}"/>
    <cellStyle name="Comma 2 2 2 2 3 3 4" xfId="859" xr:uid="{0ADFF303-C6D3-488E-A3EB-9C37EBC018DF}"/>
    <cellStyle name="Comma 2 2 2 2 3 4" xfId="523" xr:uid="{F48B1A09-D023-4AB3-9237-A0C5F7BDE270}"/>
    <cellStyle name="Comma 2 2 2 2 3 4 2" xfId="971" xr:uid="{17C1B209-A085-4F3B-9774-4E990118DD3A}"/>
    <cellStyle name="Comma 2 2 2 2 3 5" xfId="299" xr:uid="{65182CFC-1955-4977-896D-5A4F64D109CA}"/>
    <cellStyle name="Comma 2 2 2 2 3 6" xfId="747" xr:uid="{61BE3103-0232-460A-8FEB-7EFFB29771CD}"/>
    <cellStyle name="Comma 2 2 2 2 4" xfId="103" xr:uid="{362C4440-7C48-4968-8E9C-5146C819D1F6}"/>
    <cellStyle name="Comma 2 2 2 2 4 2" xfId="216" xr:uid="{267EEC4B-80F5-442E-9ED0-D526BE8B8FD2}"/>
    <cellStyle name="Comma 2 2 2 2 4 2 2" xfId="664" xr:uid="{6F4AF4E4-090A-4D1B-8EB1-09EFC9A964CE}"/>
    <cellStyle name="Comma 2 2 2 2 4 2 2 2" xfId="1112" xr:uid="{399E4550-5630-42E8-AF5C-1C2A82BFBD5C}"/>
    <cellStyle name="Comma 2 2 2 2 4 2 3" xfId="440" xr:uid="{B6398A43-B974-473B-A7D6-E5D17A2817E5}"/>
    <cellStyle name="Comma 2 2 2 2 4 2 4" xfId="888" xr:uid="{B15160AA-F9B6-4023-9B42-05778FEA7B53}"/>
    <cellStyle name="Comma 2 2 2 2 4 3" xfId="552" xr:uid="{512FFDED-4DEA-44E1-A282-33E953CE9C80}"/>
    <cellStyle name="Comma 2 2 2 2 4 3 2" xfId="1000" xr:uid="{58865006-11D6-4344-A774-19E051FA471F}"/>
    <cellStyle name="Comma 2 2 2 2 4 4" xfId="328" xr:uid="{FA692D5D-B197-4C61-99FE-7787FD10AE3D}"/>
    <cellStyle name="Comma 2 2 2 2 4 5" xfId="776" xr:uid="{39D72484-11CD-4F9E-8ECF-67E2B6F1663B}"/>
    <cellStyle name="Comma 2 2 2 2 5" xfId="164" xr:uid="{14A96520-1D0F-4AC3-AF94-21EA8FCFFD62}"/>
    <cellStyle name="Comma 2 2 2 2 5 2" xfId="612" xr:uid="{B2E17CF5-32C8-499B-B2F0-F50E54D731DD}"/>
    <cellStyle name="Comma 2 2 2 2 5 2 2" xfId="1060" xr:uid="{4278B5DF-E422-4761-8A0A-3E74271890C4}"/>
    <cellStyle name="Comma 2 2 2 2 5 3" xfId="388" xr:uid="{E5404CD6-F052-451B-A8ED-0D7372DABA5E}"/>
    <cellStyle name="Comma 2 2 2 2 5 4" xfId="836" xr:uid="{11BD11B6-1F41-48A4-8CC3-B8802107DE5B}"/>
    <cellStyle name="Comma 2 2 2 2 6" xfId="500" xr:uid="{40751ABE-F6B4-4919-9044-D801E52FB43B}"/>
    <cellStyle name="Comma 2 2 2 2 6 2" xfId="948" xr:uid="{5796B454-F368-41DC-B417-7A1977392916}"/>
    <cellStyle name="Comma 2 2 2 2 7" xfId="276" xr:uid="{B033A654-23DE-421A-B015-680E05882ECF}"/>
    <cellStyle name="Comma 2 2 2 2 8" xfId="724" xr:uid="{EE31E1ED-2F9D-4858-8C62-CC5D9317C9B1}"/>
    <cellStyle name="Comma 2 2 2 3" xfId="57" xr:uid="{B01AC5EE-BEEC-4898-BE2C-DCCA15605C10}"/>
    <cellStyle name="Comma 2 2 2 3 2" xfId="80" xr:uid="{82AC27BD-4456-439F-999A-9B6051C3CEF8}"/>
    <cellStyle name="Comma 2 2 2 3 2 2" xfId="135" xr:uid="{7F80A39B-6311-4E4B-B61E-62EB55900CBB}"/>
    <cellStyle name="Comma 2 2 2 3 2 2 2" xfId="247" xr:uid="{CA4A1CC2-A176-4D5A-9C55-223014E14808}"/>
    <cellStyle name="Comma 2 2 2 3 2 2 2 2" xfId="695" xr:uid="{42EA212B-8EAF-40DA-998D-95589F66E07D}"/>
    <cellStyle name="Comma 2 2 2 3 2 2 2 2 2" xfId="1143" xr:uid="{282C6716-B806-4A99-9271-BE37169F14A7}"/>
    <cellStyle name="Comma 2 2 2 3 2 2 2 3" xfId="471" xr:uid="{3C637896-F16A-4268-B5A3-DCDD2B4AF2D2}"/>
    <cellStyle name="Comma 2 2 2 3 2 2 2 4" xfId="919" xr:uid="{429B2042-0A83-4F35-BA74-4614237BD157}"/>
    <cellStyle name="Comma 2 2 2 3 2 2 3" xfId="583" xr:uid="{529465D2-2D3F-4E75-B714-1FA74EF79703}"/>
    <cellStyle name="Comma 2 2 2 3 2 2 3 2" xfId="1031" xr:uid="{2CD20EAE-A28D-43D5-9045-A14C4877611F}"/>
    <cellStyle name="Comma 2 2 2 3 2 2 4" xfId="359" xr:uid="{1C43A3A4-39B1-4D96-806A-87732583ABCA}"/>
    <cellStyle name="Comma 2 2 2 3 2 2 5" xfId="807" xr:uid="{96EF6B73-9D6A-4448-B3B5-C097AA2E6E94}"/>
    <cellStyle name="Comma 2 2 2 3 2 3" xfId="193" xr:uid="{47BB6AF5-6246-4015-A92A-4254768ADF10}"/>
    <cellStyle name="Comma 2 2 2 3 2 3 2" xfId="641" xr:uid="{5831A878-862A-4ACE-83A5-0A0A69818ABB}"/>
    <cellStyle name="Comma 2 2 2 3 2 3 2 2" xfId="1089" xr:uid="{174D4597-2FE6-4ECD-8F5C-78E44A3A321A}"/>
    <cellStyle name="Comma 2 2 2 3 2 3 3" xfId="417" xr:uid="{3D033C0D-4B95-4F5C-83DC-1616A5C17717}"/>
    <cellStyle name="Comma 2 2 2 3 2 3 4" xfId="865" xr:uid="{1E3EF2A1-0738-4FF4-B741-4BCB36EA5F82}"/>
    <cellStyle name="Comma 2 2 2 3 2 4" xfId="529" xr:uid="{D4CB9D78-39BE-4292-AE7A-28FF0AAF92D1}"/>
    <cellStyle name="Comma 2 2 2 3 2 4 2" xfId="977" xr:uid="{2DBBD645-A4C4-426A-970B-0092C4982C77}"/>
    <cellStyle name="Comma 2 2 2 3 2 5" xfId="305" xr:uid="{9ABD9217-8626-4316-8D91-E57A23B8FB3B}"/>
    <cellStyle name="Comma 2 2 2 3 2 6" xfId="753" xr:uid="{E6D295B6-9B14-4FB7-B72A-DD4FF03321CE}"/>
    <cellStyle name="Comma 2 2 2 3 3" xfId="109" xr:uid="{DABCE133-4726-4DAD-9B4E-997E85AA8AF7}"/>
    <cellStyle name="Comma 2 2 2 3 3 2" xfId="222" xr:uid="{F8F1E1F2-EBF9-4AEB-8CDF-ADFAB38360CF}"/>
    <cellStyle name="Comma 2 2 2 3 3 2 2" xfId="670" xr:uid="{34FA6953-B8E6-4565-B062-750F07A28101}"/>
    <cellStyle name="Comma 2 2 2 3 3 2 2 2" xfId="1118" xr:uid="{15A7D38D-036E-4788-B1AA-06FCFA27A311}"/>
    <cellStyle name="Comma 2 2 2 3 3 2 3" xfId="446" xr:uid="{59CA9415-7794-4EE7-880F-2D9DCF12F77F}"/>
    <cellStyle name="Comma 2 2 2 3 3 2 4" xfId="894" xr:uid="{0AB5058D-CCCA-4830-94AE-8DCC6243F865}"/>
    <cellStyle name="Comma 2 2 2 3 3 3" xfId="558" xr:uid="{611A37BC-DC68-444C-9BB8-5FA0A2332171}"/>
    <cellStyle name="Comma 2 2 2 3 3 3 2" xfId="1006" xr:uid="{5228D494-FFFF-479F-BDB7-CA5EC0C63D7C}"/>
    <cellStyle name="Comma 2 2 2 3 3 4" xfId="334" xr:uid="{E288BA4A-7F00-40A4-9EF2-4EE814AD8711}"/>
    <cellStyle name="Comma 2 2 2 3 3 5" xfId="782" xr:uid="{3652806D-43E7-4262-A3E5-ABFFD31FA0E2}"/>
    <cellStyle name="Comma 2 2 2 3 4" xfId="170" xr:uid="{632F0024-DCA8-4755-B801-B1C54910E3C8}"/>
    <cellStyle name="Comma 2 2 2 3 4 2" xfId="618" xr:uid="{9F743013-EB2C-43F2-84A4-926313181076}"/>
    <cellStyle name="Comma 2 2 2 3 4 2 2" xfId="1066" xr:uid="{22A01C3D-F361-4307-A808-C802D62659DA}"/>
    <cellStyle name="Comma 2 2 2 3 4 3" xfId="394" xr:uid="{666A77BF-18AD-4DC1-96DB-25B810FBFD4A}"/>
    <cellStyle name="Comma 2 2 2 3 4 4" xfId="842" xr:uid="{40505A25-2A5E-42D5-AD18-A9DD123C01B0}"/>
    <cellStyle name="Comma 2 2 2 3 5" xfId="506" xr:uid="{BE956CCE-7E8A-460C-915C-9248C8BA8F56}"/>
    <cellStyle name="Comma 2 2 2 3 5 2" xfId="954" xr:uid="{BEEEF841-059B-4294-AAAA-0D387DA1352A}"/>
    <cellStyle name="Comma 2 2 2 3 6" xfId="282" xr:uid="{E1A2DEA6-F361-4F89-BD2B-8FC9735188C2}"/>
    <cellStyle name="Comma 2 2 2 3 7" xfId="730" xr:uid="{B2B115CC-F729-4922-BDBB-4F37CAA662AC}"/>
    <cellStyle name="Comma 2 2 2 4" xfId="68" xr:uid="{68E10C27-B7EC-48CB-B09A-57B12C81804F}"/>
    <cellStyle name="Comma 2 2 2 4 2" xfId="123" xr:uid="{CB09EF2E-A20F-41CE-AEA5-BB4D4A4BD868}"/>
    <cellStyle name="Comma 2 2 2 4 2 2" xfId="235" xr:uid="{9E37065D-3F69-4532-8817-4D98BACEFE8D}"/>
    <cellStyle name="Comma 2 2 2 4 2 2 2" xfId="683" xr:uid="{8C427837-BBBA-4669-9735-35D0D48DB9C0}"/>
    <cellStyle name="Comma 2 2 2 4 2 2 2 2" xfId="1131" xr:uid="{CFEBA10C-845A-49D0-BD0C-960FCDABCDD4}"/>
    <cellStyle name="Comma 2 2 2 4 2 2 3" xfId="459" xr:uid="{27302ACB-8F46-4C6B-8D3C-682307A877AC}"/>
    <cellStyle name="Comma 2 2 2 4 2 2 4" xfId="907" xr:uid="{04DF85C2-73B0-4B38-8EA2-5ABB872AFF6C}"/>
    <cellStyle name="Comma 2 2 2 4 2 3" xfId="571" xr:uid="{22270C71-8A69-41B6-BEC7-75DD800C0045}"/>
    <cellStyle name="Comma 2 2 2 4 2 3 2" xfId="1019" xr:uid="{166EA433-8556-429A-BF2A-B97771F56B75}"/>
    <cellStyle name="Comma 2 2 2 4 2 4" xfId="347" xr:uid="{1D2A93C0-2EBB-4AAA-BABD-B0E6CE080299}"/>
    <cellStyle name="Comma 2 2 2 4 2 5" xfId="795" xr:uid="{D77D9C92-A8A5-403F-981F-7F9359837BD3}"/>
    <cellStyle name="Comma 2 2 2 4 3" xfId="181" xr:uid="{63C3E825-CE2D-4251-9887-96EDAF04F572}"/>
    <cellStyle name="Comma 2 2 2 4 3 2" xfId="629" xr:uid="{0509D12C-6285-4869-9DC0-EC4AD51E65C1}"/>
    <cellStyle name="Comma 2 2 2 4 3 2 2" xfId="1077" xr:uid="{7E6694B5-9645-430E-864A-F8574B17616E}"/>
    <cellStyle name="Comma 2 2 2 4 3 3" xfId="405" xr:uid="{FE112F85-8D25-469C-BE5B-88B80E512CA2}"/>
    <cellStyle name="Comma 2 2 2 4 3 4" xfId="853" xr:uid="{66DB8145-25E8-430C-B732-782E1BBC982F}"/>
    <cellStyle name="Comma 2 2 2 4 4" xfId="517" xr:uid="{D805975E-6AF7-45E4-AFDC-492DAEC99D28}"/>
    <cellStyle name="Comma 2 2 2 4 4 2" xfId="965" xr:uid="{E4FA28EE-11CE-4CB4-B3BD-12B80D75F0F0}"/>
    <cellStyle name="Comma 2 2 2 4 5" xfId="293" xr:uid="{EC73F3F1-5D1B-43D9-830A-CED4AE8400EE}"/>
    <cellStyle name="Comma 2 2 2 4 6" xfId="741" xr:uid="{39A0295E-56EF-40CF-B6A5-B36AD975375D}"/>
    <cellStyle name="Comma 2 2 2 5" xfId="97" xr:uid="{A5F53C89-7365-4A99-8B85-6C45B095DFA4}"/>
    <cellStyle name="Comma 2 2 2 5 2" xfId="210" xr:uid="{59B7166E-9B02-42A5-981F-9A9AF822EDCF}"/>
    <cellStyle name="Comma 2 2 2 5 2 2" xfId="658" xr:uid="{164B7B6D-766F-4FDD-9C78-6B04171026EE}"/>
    <cellStyle name="Comma 2 2 2 5 2 2 2" xfId="1106" xr:uid="{3FF74E7D-6711-4A66-940E-014A9B02C3AB}"/>
    <cellStyle name="Comma 2 2 2 5 2 3" xfId="434" xr:uid="{9DA6CF36-756E-421F-A483-05BBF7B98B45}"/>
    <cellStyle name="Comma 2 2 2 5 2 4" xfId="882" xr:uid="{16302DCD-65D0-4816-AE62-2FB69C8F0E69}"/>
    <cellStyle name="Comma 2 2 2 5 3" xfId="546" xr:uid="{96EA3A82-1CD0-434A-BE61-A15D1086DC52}"/>
    <cellStyle name="Comma 2 2 2 5 3 2" xfId="994" xr:uid="{68456384-821A-4509-9093-12E505FC9D2D}"/>
    <cellStyle name="Comma 2 2 2 5 4" xfId="322" xr:uid="{A687F332-D320-4F7E-A216-B49321D0B5A2}"/>
    <cellStyle name="Comma 2 2 2 5 5" xfId="770" xr:uid="{455FEF7B-81FB-4DBE-AFEC-392F31039644}"/>
    <cellStyle name="Comma 2 2 2 6" xfId="158" xr:uid="{1FF7DEDD-461E-470C-9672-E19F58403130}"/>
    <cellStyle name="Comma 2 2 2 6 2" xfId="606" xr:uid="{A294966F-384D-4A82-87CA-CC8ECAFA94F7}"/>
    <cellStyle name="Comma 2 2 2 6 2 2" xfId="1054" xr:uid="{E5AD0CF3-193A-431C-81E6-EE0AE351205D}"/>
    <cellStyle name="Comma 2 2 2 6 3" xfId="382" xr:uid="{F0D8D3FF-181B-4CAE-83A7-923FFA145625}"/>
    <cellStyle name="Comma 2 2 2 6 4" xfId="830" xr:uid="{C32466AA-675D-419F-A490-080607A37883}"/>
    <cellStyle name="Comma 2 2 2 7" xfId="494" xr:uid="{AA0FEC4C-2BF2-4A53-9BF9-884C56DFC33F}"/>
    <cellStyle name="Comma 2 2 2 7 2" xfId="942" xr:uid="{E7D3372E-DAE3-4AAD-8043-6A618A051554}"/>
    <cellStyle name="Comma 2 2 2 8" xfId="270" xr:uid="{93F9375C-80CB-4105-824E-8D81AFF9DD4C}"/>
    <cellStyle name="Comma 2 2 2 9" xfId="718" xr:uid="{D472B8C9-154D-4D9C-8330-B67A7A1475E3}"/>
    <cellStyle name="Comma 2 2 3" xfId="47" xr:uid="{CB2DCB67-141C-435D-ABC6-EA8F7B8CDCBD}"/>
    <cellStyle name="Comma 2 2 3 2" xfId="53" xr:uid="{4B757182-19C4-4B75-B745-0FA8C7AA7C76}"/>
    <cellStyle name="Comma 2 2 3 2 2" xfId="65" xr:uid="{557A56BA-A9E8-473D-8E31-138164450609}"/>
    <cellStyle name="Comma 2 2 3 2 2 2" xfId="88" xr:uid="{BA75BF67-627A-4970-9C84-678413101829}"/>
    <cellStyle name="Comma 2 2 3 2 2 2 2" xfId="143" xr:uid="{672D71B0-1214-4C49-99FF-8E8F97997146}"/>
    <cellStyle name="Comma 2 2 3 2 2 2 2 2" xfId="255" xr:uid="{03E06425-6F11-4602-ABC3-4C617DAC4AC9}"/>
    <cellStyle name="Comma 2 2 3 2 2 2 2 2 2" xfId="703" xr:uid="{8F249B75-37C7-4F84-A8DA-5CA94B029853}"/>
    <cellStyle name="Comma 2 2 3 2 2 2 2 2 2 2" xfId="1151" xr:uid="{A4EF294F-C385-429C-BAE6-33A3C59EBC33}"/>
    <cellStyle name="Comma 2 2 3 2 2 2 2 2 3" xfId="479" xr:uid="{3A14D512-A504-4625-A25B-0C8530AE23F6}"/>
    <cellStyle name="Comma 2 2 3 2 2 2 2 2 4" xfId="927" xr:uid="{CE27DD6E-7524-4D4E-904C-D7ED318B97EB}"/>
    <cellStyle name="Comma 2 2 3 2 2 2 2 3" xfId="591" xr:uid="{4D95CFDE-D4EA-4344-A2FE-1EC54FB3288E}"/>
    <cellStyle name="Comma 2 2 3 2 2 2 2 3 2" xfId="1039" xr:uid="{740C0B40-63E1-4B11-97A3-77B9E1F897F2}"/>
    <cellStyle name="Comma 2 2 3 2 2 2 2 4" xfId="367" xr:uid="{14E9F34A-B611-44FE-896C-E4F767D3A30F}"/>
    <cellStyle name="Comma 2 2 3 2 2 2 2 5" xfId="815" xr:uid="{92A7025F-5ACA-46F6-8644-3EC5D587B1EC}"/>
    <cellStyle name="Comma 2 2 3 2 2 2 3" xfId="201" xr:uid="{2463CC4D-67CF-49A5-809B-01FFC139C9CC}"/>
    <cellStyle name="Comma 2 2 3 2 2 2 3 2" xfId="649" xr:uid="{C172B264-4940-4E67-82F5-086F74DFA8FF}"/>
    <cellStyle name="Comma 2 2 3 2 2 2 3 2 2" xfId="1097" xr:uid="{F0D364D6-D340-4FEF-8A8B-616CDAE99BCA}"/>
    <cellStyle name="Comma 2 2 3 2 2 2 3 3" xfId="425" xr:uid="{D5BBC2B3-B341-4F43-B9D2-99CF9C7DCC90}"/>
    <cellStyle name="Comma 2 2 3 2 2 2 3 4" xfId="873" xr:uid="{DD10DD2C-007E-45A7-A5F2-4E8352289B0B}"/>
    <cellStyle name="Comma 2 2 3 2 2 2 4" xfId="537" xr:uid="{34B4D1F6-484E-4BA4-8E2E-2110E79216CF}"/>
    <cellStyle name="Comma 2 2 3 2 2 2 4 2" xfId="985" xr:uid="{A0D1F3A9-2AF8-4A32-9492-3344101E116A}"/>
    <cellStyle name="Comma 2 2 3 2 2 2 5" xfId="313" xr:uid="{19A655D6-F55D-4FDE-B3FC-429F19E3B148}"/>
    <cellStyle name="Comma 2 2 3 2 2 2 6" xfId="761" xr:uid="{18036ACD-92F5-44E8-A2A3-0B5D5E7FB27A}"/>
    <cellStyle name="Comma 2 2 3 2 2 3" xfId="117" xr:uid="{21FF4DE5-0223-443A-ADA0-20F42808117D}"/>
    <cellStyle name="Comma 2 2 3 2 2 3 2" xfId="230" xr:uid="{D49C5117-E08D-409F-91A1-0A1EE41C3461}"/>
    <cellStyle name="Comma 2 2 3 2 2 3 2 2" xfId="678" xr:uid="{7066E761-1E1A-446C-838B-1256DE26FD91}"/>
    <cellStyle name="Comma 2 2 3 2 2 3 2 2 2" xfId="1126" xr:uid="{B2EBF3D0-B8E7-439E-B507-03E1B084D2A8}"/>
    <cellStyle name="Comma 2 2 3 2 2 3 2 3" xfId="454" xr:uid="{A2354A39-99D5-4619-9FA4-F25A0F7173E8}"/>
    <cellStyle name="Comma 2 2 3 2 2 3 2 4" xfId="902" xr:uid="{2F21FE6C-8E54-4106-BF72-C608AA2E88F9}"/>
    <cellStyle name="Comma 2 2 3 2 2 3 3" xfId="566" xr:uid="{2756CD0F-C30D-4E8A-A05B-3B12F098D0E3}"/>
    <cellStyle name="Comma 2 2 3 2 2 3 3 2" xfId="1014" xr:uid="{D8F83C78-E68C-4776-B1CF-CFCB485F4E86}"/>
    <cellStyle name="Comma 2 2 3 2 2 3 4" xfId="342" xr:uid="{475DFA97-4B3B-4BF6-BF6A-91BA271F47C0}"/>
    <cellStyle name="Comma 2 2 3 2 2 3 5" xfId="790" xr:uid="{C0AB682C-D0AA-4CF8-9F1E-AB34022EC32C}"/>
    <cellStyle name="Comma 2 2 3 2 2 4" xfId="178" xr:uid="{720461B1-CA18-443B-BC4D-0E7D2493FF2C}"/>
    <cellStyle name="Comma 2 2 3 2 2 4 2" xfId="626" xr:uid="{818602C9-4A76-49E7-9681-CB188338F82D}"/>
    <cellStyle name="Comma 2 2 3 2 2 4 2 2" xfId="1074" xr:uid="{E768B8B3-BB8F-413A-B4C2-18DF3A907000}"/>
    <cellStyle name="Comma 2 2 3 2 2 4 3" xfId="402" xr:uid="{306B99A3-2F92-4DD9-BF45-69C65F4E205C}"/>
    <cellStyle name="Comma 2 2 3 2 2 4 4" xfId="850" xr:uid="{B17DFFC3-38C2-4487-8FA7-D65492B4344D}"/>
    <cellStyle name="Comma 2 2 3 2 2 5" xfId="514" xr:uid="{489CDE56-D68D-483F-8E97-8483435F414E}"/>
    <cellStyle name="Comma 2 2 3 2 2 5 2" xfId="962" xr:uid="{4772889E-2B54-4969-9F52-634370ABB849}"/>
    <cellStyle name="Comma 2 2 3 2 2 6" xfId="290" xr:uid="{E4ECC37F-59EE-434B-A8DD-BFF3C243F6F5}"/>
    <cellStyle name="Comma 2 2 3 2 2 7" xfId="738" xr:uid="{FD4C45DF-BC40-4417-A1B9-EFFAB7717D49}"/>
    <cellStyle name="Comma 2 2 3 2 3" xfId="76" xr:uid="{1271E45D-83EC-4359-B9CF-C81F2DB67457}"/>
    <cellStyle name="Comma 2 2 3 2 3 2" xfId="131" xr:uid="{E79DEBEF-7DAA-4F3E-86AD-BF8464492FD8}"/>
    <cellStyle name="Comma 2 2 3 2 3 2 2" xfId="243" xr:uid="{DCE5F1F1-31F3-4C60-85EE-D6691DAE9B29}"/>
    <cellStyle name="Comma 2 2 3 2 3 2 2 2" xfId="691" xr:uid="{2251A3C4-FEA1-48A6-99A2-E02A1ED337E6}"/>
    <cellStyle name="Comma 2 2 3 2 3 2 2 2 2" xfId="1139" xr:uid="{9C431A2A-0052-4774-8911-0A6ECE268C07}"/>
    <cellStyle name="Comma 2 2 3 2 3 2 2 3" xfId="467" xr:uid="{FE4D90BB-4445-41DA-B6EF-F33116347A2B}"/>
    <cellStyle name="Comma 2 2 3 2 3 2 2 4" xfId="915" xr:uid="{0D255409-FE8E-41E9-99B1-DFA3D886282D}"/>
    <cellStyle name="Comma 2 2 3 2 3 2 3" xfId="579" xr:uid="{53583C7F-5F0D-48DA-9949-3A9828E2A493}"/>
    <cellStyle name="Comma 2 2 3 2 3 2 3 2" xfId="1027" xr:uid="{C4B92893-CD8C-4324-9672-56E332260C7E}"/>
    <cellStyle name="Comma 2 2 3 2 3 2 4" xfId="355" xr:uid="{6215218E-E9D3-441C-98C1-1DAC34F86039}"/>
    <cellStyle name="Comma 2 2 3 2 3 2 5" xfId="803" xr:uid="{216052DE-918C-427E-A237-F32A407026C7}"/>
    <cellStyle name="Comma 2 2 3 2 3 3" xfId="189" xr:uid="{B0B1A917-3DF3-41A1-85E9-40CAA4BA2243}"/>
    <cellStyle name="Comma 2 2 3 2 3 3 2" xfId="637" xr:uid="{3543329C-2B1D-4B5B-9CA4-7072C6D46F8C}"/>
    <cellStyle name="Comma 2 2 3 2 3 3 2 2" xfId="1085" xr:uid="{B95997F4-E250-4E38-9E96-67996FAC2CAB}"/>
    <cellStyle name="Comma 2 2 3 2 3 3 3" xfId="413" xr:uid="{CA2BEC9F-F435-40AE-B5F4-38E12D928A30}"/>
    <cellStyle name="Comma 2 2 3 2 3 3 4" xfId="861" xr:uid="{88B28028-00A6-42C6-B0FA-E6EC9C18087A}"/>
    <cellStyle name="Comma 2 2 3 2 3 4" xfId="525" xr:uid="{6BADC3C3-307B-4C52-A5F9-FFFE449A7DBA}"/>
    <cellStyle name="Comma 2 2 3 2 3 4 2" xfId="973" xr:uid="{94B616D5-B91F-4456-94AE-0269C36F5F54}"/>
    <cellStyle name="Comma 2 2 3 2 3 5" xfId="301" xr:uid="{6676E2D1-36F9-4745-81E1-BA9544324495}"/>
    <cellStyle name="Comma 2 2 3 2 3 6" xfId="749" xr:uid="{2FEA4D64-0204-4D2E-ADD4-5686237A9BA1}"/>
    <cellStyle name="Comma 2 2 3 2 4" xfId="105" xr:uid="{F616074D-7A67-4551-A409-340099C4C60A}"/>
    <cellStyle name="Comma 2 2 3 2 4 2" xfId="218" xr:uid="{84D44AC9-70A2-45E3-8BFC-C79BE5621704}"/>
    <cellStyle name="Comma 2 2 3 2 4 2 2" xfId="666" xr:uid="{D53837C7-EB48-4079-8EA7-26894FDE2247}"/>
    <cellStyle name="Comma 2 2 3 2 4 2 2 2" xfId="1114" xr:uid="{9847D156-DF50-4E39-9E04-710AFF6058C9}"/>
    <cellStyle name="Comma 2 2 3 2 4 2 3" xfId="442" xr:uid="{BF2E5043-DDFB-4ADB-899F-AE13BFA435C4}"/>
    <cellStyle name="Comma 2 2 3 2 4 2 4" xfId="890" xr:uid="{43B78D68-82CA-4780-BE01-46C148AB8100}"/>
    <cellStyle name="Comma 2 2 3 2 4 3" xfId="554" xr:uid="{8DE9AD6F-BA56-430D-91E2-DA30BB0D9567}"/>
    <cellStyle name="Comma 2 2 3 2 4 3 2" xfId="1002" xr:uid="{E9015774-CA99-464D-91E4-A7ED6693B7CC}"/>
    <cellStyle name="Comma 2 2 3 2 4 4" xfId="330" xr:uid="{C7B3C014-6070-495B-868F-2088DB34781C}"/>
    <cellStyle name="Comma 2 2 3 2 4 5" xfId="778" xr:uid="{06D201D1-1829-455D-B83F-3BEDDF74C609}"/>
    <cellStyle name="Comma 2 2 3 2 5" xfId="166" xr:uid="{C347686E-7FF6-4D0D-8DE9-4A208BD549B8}"/>
    <cellStyle name="Comma 2 2 3 2 5 2" xfId="614" xr:uid="{E5F46E14-6D8D-4F33-AC20-B480F2DC0C7B}"/>
    <cellStyle name="Comma 2 2 3 2 5 2 2" xfId="1062" xr:uid="{D19F307F-1CF5-4FD6-94FB-54EFDD449D3C}"/>
    <cellStyle name="Comma 2 2 3 2 5 3" xfId="390" xr:uid="{CD9B0381-1B71-4C8D-BE8B-430645CC3861}"/>
    <cellStyle name="Comma 2 2 3 2 5 4" xfId="838" xr:uid="{E5F45802-9539-4135-A512-A024C73EF5D3}"/>
    <cellStyle name="Comma 2 2 3 2 6" xfId="502" xr:uid="{40DFECB5-CBBD-458E-9FA1-27AD2F2C2E95}"/>
    <cellStyle name="Comma 2 2 3 2 6 2" xfId="950" xr:uid="{0E42BB77-F723-48D8-B010-CF44E60A2629}"/>
    <cellStyle name="Comma 2 2 3 2 7" xfId="278" xr:uid="{FCB6B1E3-BE92-4F75-B19A-FF0730B988EE}"/>
    <cellStyle name="Comma 2 2 3 2 8" xfId="726" xr:uid="{A1BD3CB8-C76D-4961-AD0E-780C92046CAF}"/>
    <cellStyle name="Comma 2 2 3 3" xfId="59" xr:uid="{2ED5F6D0-E341-4711-91E3-241A4AE7B25E}"/>
    <cellStyle name="Comma 2 2 3 3 2" xfId="82" xr:uid="{BA6771FB-C3DC-447C-B2E4-A6CDD2A65193}"/>
    <cellStyle name="Comma 2 2 3 3 2 2" xfId="137" xr:uid="{B1762329-D679-4DD2-83E6-75D3F510F2E8}"/>
    <cellStyle name="Comma 2 2 3 3 2 2 2" xfId="249" xr:uid="{18EAE8B1-7F1C-4FF9-B715-ED7663A290A0}"/>
    <cellStyle name="Comma 2 2 3 3 2 2 2 2" xfId="697" xr:uid="{1A42897F-E602-4735-BEA8-6A6ED61384A4}"/>
    <cellStyle name="Comma 2 2 3 3 2 2 2 2 2" xfId="1145" xr:uid="{D3DC1DB2-4183-49B7-87EA-D037C508694C}"/>
    <cellStyle name="Comma 2 2 3 3 2 2 2 3" xfId="473" xr:uid="{78ECC184-AB43-4155-B504-A5B2919E1279}"/>
    <cellStyle name="Comma 2 2 3 3 2 2 2 4" xfId="921" xr:uid="{293E0F9D-73E4-4250-B79A-6BB5A50755F0}"/>
    <cellStyle name="Comma 2 2 3 3 2 2 3" xfId="585" xr:uid="{DCEC5EB0-5890-4233-A720-948A3AD62C6C}"/>
    <cellStyle name="Comma 2 2 3 3 2 2 3 2" xfId="1033" xr:uid="{D48FA3EA-F542-48E3-9811-3A6647717EC7}"/>
    <cellStyle name="Comma 2 2 3 3 2 2 4" xfId="361" xr:uid="{4AD4F7F6-DAE8-4CEB-9627-6FC1A7ED415E}"/>
    <cellStyle name="Comma 2 2 3 3 2 2 5" xfId="809" xr:uid="{DC61D159-19D6-46B4-926E-6F5A61E0F849}"/>
    <cellStyle name="Comma 2 2 3 3 2 3" xfId="195" xr:uid="{76D39975-E966-4EB7-B308-3147767D781A}"/>
    <cellStyle name="Comma 2 2 3 3 2 3 2" xfId="643" xr:uid="{E22DA157-E40B-4DA7-9E85-EAE07AE9085F}"/>
    <cellStyle name="Comma 2 2 3 3 2 3 2 2" xfId="1091" xr:uid="{DDBADCF0-2E5C-4890-9644-DE870A428D73}"/>
    <cellStyle name="Comma 2 2 3 3 2 3 3" xfId="419" xr:uid="{49F63D29-947E-44E6-95EF-5E3904CF3A32}"/>
    <cellStyle name="Comma 2 2 3 3 2 3 4" xfId="867" xr:uid="{9D5A02C1-2F5E-45F1-BBFB-F7FEDC53E5D0}"/>
    <cellStyle name="Comma 2 2 3 3 2 4" xfId="531" xr:uid="{38849673-93EF-4A45-A759-A563EADBE2D2}"/>
    <cellStyle name="Comma 2 2 3 3 2 4 2" xfId="979" xr:uid="{EAA5F6F3-14F8-4E40-A9FF-A5A88AF0032C}"/>
    <cellStyle name="Comma 2 2 3 3 2 5" xfId="307" xr:uid="{69BF676C-6F32-4AD3-A6AF-63CDADAF7E27}"/>
    <cellStyle name="Comma 2 2 3 3 2 6" xfId="755" xr:uid="{2D0C1E58-56E8-41C7-8E89-367DD0C378E2}"/>
    <cellStyle name="Comma 2 2 3 3 3" xfId="111" xr:uid="{2014FF8B-839A-4A82-880D-3E2973CC0FEE}"/>
    <cellStyle name="Comma 2 2 3 3 3 2" xfId="224" xr:uid="{8734355E-5CCF-46A7-95BB-63A81DBFA117}"/>
    <cellStyle name="Comma 2 2 3 3 3 2 2" xfId="672" xr:uid="{DF18CF9C-461C-4EBE-ADF4-033EBD3B9ABD}"/>
    <cellStyle name="Comma 2 2 3 3 3 2 2 2" xfId="1120" xr:uid="{76F307D5-ED73-43B8-92E5-96C91DEF7D10}"/>
    <cellStyle name="Comma 2 2 3 3 3 2 3" xfId="448" xr:uid="{2CBCC3FB-EA31-4677-9DB2-8B6A3FC6C107}"/>
    <cellStyle name="Comma 2 2 3 3 3 2 4" xfId="896" xr:uid="{5FA3B879-5E6E-42D9-B002-069F8AAFE42C}"/>
    <cellStyle name="Comma 2 2 3 3 3 3" xfId="560" xr:uid="{C9D4441E-8ACE-4E10-AD7D-065549490C90}"/>
    <cellStyle name="Comma 2 2 3 3 3 3 2" xfId="1008" xr:uid="{6D1B0CFC-7D55-40F7-AA7C-C8BBCC7FF38F}"/>
    <cellStyle name="Comma 2 2 3 3 3 4" xfId="336" xr:uid="{41CAE883-DA02-45C7-A991-F472D9BD9F9E}"/>
    <cellStyle name="Comma 2 2 3 3 3 5" xfId="784" xr:uid="{6AA85BCD-BE49-4208-A8FC-08AFBA6C1661}"/>
    <cellStyle name="Comma 2 2 3 3 4" xfId="172" xr:uid="{9FE90FDB-FAC8-45B1-A286-3F04342BCE37}"/>
    <cellStyle name="Comma 2 2 3 3 4 2" xfId="620" xr:uid="{B368C8A6-497B-410B-BA14-55BC35C6B42F}"/>
    <cellStyle name="Comma 2 2 3 3 4 2 2" xfId="1068" xr:uid="{8EA1353B-972E-41A2-925B-388D84484E20}"/>
    <cellStyle name="Comma 2 2 3 3 4 3" xfId="396" xr:uid="{D7697CFA-A7DB-4BAC-8511-5E06F7FB1B90}"/>
    <cellStyle name="Comma 2 2 3 3 4 4" xfId="844" xr:uid="{86091E18-B205-4D87-B664-A7924765C7C6}"/>
    <cellStyle name="Comma 2 2 3 3 5" xfId="508" xr:uid="{D3A5A4DE-DD70-4A70-9A69-395DE9343328}"/>
    <cellStyle name="Comma 2 2 3 3 5 2" xfId="956" xr:uid="{761D05FE-060F-4FF9-81A2-D1C9E332DC75}"/>
    <cellStyle name="Comma 2 2 3 3 6" xfId="284" xr:uid="{057DB8C1-0F3B-4D8C-B416-0359A1C535C2}"/>
    <cellStyle name="Comma 2 2 3 3 7" xfId="732" xr:uid="{26B5B6C6-6247-40CD-A81E-7F70096D01C2}"/>
    <cellStyle name="Comma 2 2 3 4" xfId="70" xr:uid="{583D0EE9-FFE0-4A76-A0CC-A77CB6837FDA}"/>
    <cellStyle name="Comma 2 2 3 4 2" xfId="125" xr:uid="{659BDAA2-DC93-45C3-BF88-FFC566C38063}"/>
    <cellStyle name="Comma 2 2 3 4 2 2" xfId="237" xr:uid="{7FBD40BD-E405-4557-80ED-2AC0D4156507}"/>
    <cellStyle name="Comma 2 2 3 4 2 2 2" xfId="685" xr:uid="{41B7C9EB-48EC-4BC3-B679-D3156DAE79FD}"/>
    <cellStyle name="Comma 2 2 3 4 2 2 2 2" xfId="1133" xr:uid="{6847552A-AB1B-46B7-BB4C-87AF2F467E4B}"/>
    <cellStyle name="Comma 2 2 3 4 2 2 3" xfId="461" xr:uid="{9E350AB9-3472-414D-AFAF-A4489ED2B597}"/>
    <cellStyle name="Comma 2 2 3 4 2 2 4" xfId="909" xr:uid="{52140F30-6FC7-47E3-9A7B-19677A96B044}"/>
    <cellStyle name="Comma 2 2 3 4 2 3" xfId="573" xr:uid="{49827A44-5DD1-4A5F-AB67-1EB63E3B3747}"/>
    <cellStyle name="Comma 2 2 3 4 2 3 2" xfId="1021" xr:uid="{61A5AED9-B98F-48C4-A36A-D25B8E7E8008}"/>
    <cellStyle name="Comma 2 2 3 4 2 4" xfId="349" xr:uid="{9012C3B4-4C36-4A56-B95F-F543E282CA7E}"/>
    <cellStyle name="Comma 2 2 3 4 2 5" xfId="797" xr:uid="{6A2D5D09-F570-4FA7-9A80-65D9B4972EE0}"/>
    <cellStyle name="Comma 2 2 3 4 3" xfId="183" xr:uid="{47375E36-C1BA-4B3F-93C5-A95F62AA76CB}"/>
    <cellStyle name="Comma 2 2 3 4 3 2" xfId="631" xr:uid="{53BAED3C-4D37-42CA-BF27-7D8936DB74BA}"/>
    <cellStyle name="Comma 2 2 3 4 3 2 2" xfId="1079" xr:uid="{C78C3548-3161-4340-8949-B52D1086AA50}"/>
    <cellStyle name="Comma 2 2 3 4 3 3" xfId="407" xr:uid="{4CD591BF-8008-435A-953E-2C96D0FC1F14}"/>
    <cellStyle name="Comma 2 2 3 4 3 4" xfId="855" xr:uid="{C69A54DC-A68E-4BCF-AAB5-3CD0353085F7}"/>
    <cellStyle name="Comma 2 2 3 4 4" xfId="519" xr:uid="{4F533776-6F8D-4D1F-A3C3-1C31D110C034}"/>
    <cellStyle name="Comma 2 2 3 4 4 2" xfId="967" xr:uid="{CFEA1401-4718-4424-B12F-6CEDCF13AA83}"/>
    <cellStyle name="Comma 2 2 3 4 5" xfId="295" xr:uid="{14C066CF-DC05-44C3-90C6-F0264521C7DC}"/>
    <cellStyle name="Comma 2 2 3 4 6" xfId="743" xr:uid="{BF07E919-18C1-460E-85AA-702102AFC81A}"/>
    <cellStyle name="Comma 2 2 3 5" xfId="99" xr:uid="{C3BB5C4E-7E31-402B-8ADC-17C72F4115DA}"/>
    <cellStyle name="Comma 2 2 3 5 2" xfId="212" xr:uid="{0B9F2D50-DC66-47B5-89AE-4206F24E5D31}"/>
    <cellStyle name="Comma 2 2 3 5 2 2" xfId="660" xr:uid="{05C7AF37-3982-4C17-BC0B-136914097AF4}"/>
    <cellStyle name="Comma 2 2 3 5 2 2 2" xfId="1108" xr:uid="{8CC7540D-542C-4C8B-B968-1F5D119672D9}"/>
    <cellStyle name="Comma 2 2 3 5 2 3" xfId="436" xr:uid="{0CFDB8A0-1DFD-46A8-825E-9D6F1812F05B}"/>
    <cellStyle name="Comma 2 2 3 5 2 4" xfId="884" xr:uid="{A7822B47-9491-458E-BE8A-69FA897542B0}"/>
    <cellStyle name="Comma 2 2 3 5 3" xfId="548" xr:uid="{A82F9A0B-87B5-4714-9D11-F80FB9B1376D}"/>
    <cellStyle name="Comma 2 2 3 5 3 2" xfId="996" xr:uid="{4F573893-B193-4D8E-BB5A-9B21290C95F5}"/>
    <cellStyle name="Comma 2 2 3 5 4" xfId="324" xr:uid="{08AB66C5-23CD-48ED-9D23-E7132AA43F50}"/>
    <cellStyle name="Comma 2 2 3 5 5" xfId="772" xr:uid="{A1292C5C-4A20-4C2B-BADB-A1CC323FE7A3}"/>
    <cellStyle name="Comma 2 2 3 6" xfId="160" xr:uid="{7E482FC1-4788-4E2B-9EF3-3C260CFD9FC1}"/>
    <cellStyle name="Comma 2 2 3 6 2" xfId="608" xr:uid="{801614B7-445B-48D0-B67D-84E157BBF4CE}"/>
    <cellStyle name="Comma 2 2 3 6 2 2" xfId="1056" xr:uid="{D76DE45A-04B4-4298-B249-351C0E3206F1}"/>
    <cellStyle name="Comma 2 2 3 6 3" xfId="384" xr:uid="{04BA1D92-AF85-46B8-9D10-288520727AEF}"/>
    <cellStyle name="Comma 2 2 3 6 4" xfId="832" xr:uid="{FF5562CA-DF73-4EA8-AD9E-4D790D035CB2}"/>
    <cellStyle name="Comma 2 2 3 7" xfId="496" xr:uid="{6CF59B65-627D-4E41-B20F-4E7319082FDA}"/>
    <cellStyle name="Comma 2 2 3 7 2" xfId="944" xr:uid="{5780AFD6-8647-4F4C-8DC0-71B9F3003A39}"/>
    <cellStyle name="Comma 2 2 3 8" xfId="272" xr:uid="{E31A46F6-3860-4099-84AC-18514F054513}"/>
    <cellStyle name="Comma 2 2 3 9" xfId="720" xr:uid="{5C1343D3-13D1-4A0A-9FC5-F642875F8BA9}"/>
    <cellStyle name="Comma 2 2 4" xfId="49" xr:uid="{9E1B6105-5803-4FEA-AB0E-8F4E69E23762}"/>
    <cellStyle name="Comma 2 2 4 2" xfId="61" xr:uid="{2C68F093-FAB6-4293-B97B-89CFA8D3BB2C}"/>
    <cellStyle name="Comma 2 2 4 2 2" xfId="84" xr:uid="{E7AD4FF2-8894-4E29-A230-99FFAA7B7348}"/>
    <cellStyle name="Comma 2 2 4 2 2 2" xfId="139" xr:uid="{BB60248D-CBC8-4770-BBAE-9EDA7A05F275}"/>
    <cellStyle name="Comma 2 2 4 2 2 2 2" xfId="251" xr:uid="{2E29AED5-3934-4EE0-9B76-5645A4DB50E3}"/>
    <cellStyle name="Comma 2 2 4 2 2 2 2 2" xfId="699" xr:uid="{986AA56F-0CC7-48E6-9030-A7765F1CF557}"/>
    <cellStyle name="Comma 2 2 4 2 2 2 2 2 2" xfId="1147" xr:uid="{975CEA59-E90B-4C4C-B0FB-2EA13FA0BF67}"/>
    <cellStyle name="Comma 2 2 4 2 2 2 2 3" xfId="475" xr:uid="{BF54EFBC-8616-42FE-A3B3-CFB667A90DB6}"/>
    <cellStyle name="Comma 2 2 4 2 2 2 2 4" xfId="923" xr:uid="{C34DB829-B27F-46CF-A2EB-99646A274FC9}"/>
    <cellStyle name="Comma 2 2 4 2 2 2 3" xfId="587" xr:uid="{F63CA0E6-5E14-4923-81BB-7805AADD5972}"/>
    <cellStyle name="Comma 2 2 4 2 2 2 3 2" xfId="1035" xr:uid="{E2E495EB-DA31-49E9-A40A-72093566521E}"/>
    <cellStyle name="Comma 2 2 4 2 2 2 4" xfId="363" xr:uid="{9C558B5B-A651-4B4B-8252-9B2593FB79BA}"/>
    <cellStyle name="Comma 2 2 4 2 2 2 5" xfId="811" xr:uid="{6D6CB863-4E4A-4A0B-A806-1BE0A13E1EA6}"/>
    <cellStyle name="Comma 2 2 4 2 2 3" xfId="197" xr:uid="{AA08C798-614A-406B-B043-19531CA5DD96}"/>
    <cellStyle name="Comma 2 2 4 2 2 3 2" xfId="645" xr:uid="{D5E4BEE4-CD1B-474E-8675-3855F06A4708}"/>
    <cellStyle name="Comma 2 2 4 2 2 3 2 2" xfId="1093" xr:uid="{75AB0D3C-E069-4A44-B20D-3F7F2327A2D0}"/>
    <cellStyle name="Comma 2 2 4 2 2 3 3" xfId="421" xr:uid="{D0AD0FF6-78F4-49EC-A52C-53ED8908402A}"/>
    <cellStyle name="Comma 2 2 4 2 2 3 4" xfId="869" xr:uid="{7854C258-F10E-4DC9-971F-8A3979E06A75}"/>
    <cellStyle name="Comma 2 2 4 2 2 4" xfId="533" xr:uid="{597EB4DA-EEF1-4D7E-9ADC-4E8F15CB5280}"/>
    <cellStyle name="Comma 2 2 4 2 2 4 2" xfId="981" xr:uid="{AEA00694-E05D-4144-A6D8-23DF3DA91335}"/>
    <cellStyle name="Comma 2 2 4 2 2 5" xfId="309" xr:uid="{4ABE2993-4957-4C44-9FAE-6928EE7F83A4}"/>
    <cellStyle name="Comma 2 2 4 2 2 6" xfId="757" xr:uid="{6C41A5EC-D230-4CCB-B038-36F991A77629}"/>
    <cellStyle name="Comma 2 2 4 2 3" xfId="113" xr:uid="{12990432-4981-47DD-90AF-10201329CDA2}"/>
    <cellStyle name="Comma 2 2 4 2 3 2" xfId="226" xr:uid="{0A0BFB1B-3F45-4348-B21E-C8275A012EE2}"/>
    <cellStyle name="Comma 2 2 4 2 3 2 2" xfId="674" xr:uid="{9C568170-7B09-434D-A8D4-0136C8095BCF}"/>
    <cellStyle name="Comma 2 2 4 2 3 2 2 2" xfId="1122" xr:uid="{4CADFD2B-B91B-4C87-9AB5-6ABD9D71629D}"/>
    <cellStyle name="Comma 2 2 4 2 3 2 3" xfId="450" xr:uid="{B9493550-FDB8-4B3A-B937-30E88058E48A}"/>
    <cellStyle name="Comma 2 2 4 2 3 2 4" xfId="898" xr:uid="{D6C3BCCD-2DE7-4C0C-AC6F-813A7D71F1C4}"/>
    <cellStyle name="Comma 2 2 4 2 3 3" xfId="562" xr:uid="{895E1C30-5F82-4F51-B1FB-E0F3CB241942}"/>
    <cellStyle name="Comma 2 2 4 2 3 3 2" xfId="1010" xr:uid="{AB1A0080-4516-4063-891F-A9E078E24FF5}"/>
    <cellStyle name="Comma 2 2 4 2 3 4" xfId="338" xr:uid="{8C4086BB-2572-4DAB-830D-E67D778D255E}"/>
    <cellStyle name="Comma 2 2 4 2 3 5" xfId="786" xr:uid="{10295598-23B6-470A-9EDD-2CB1D6EC8089}"/>
    <cellStyle name="Comma 2 2 4 2 4" xfId="174" xr:uid="{CD988148-765E-477A-AE76-024590F1282D}"/>
    <cellStyle name="Comma 2 2 4 2 4 2" xfId="622" xr:uid="{C70C01B9-4E36-4D0F-BFBA-2DD6C7F8549C}"/>
    <cellStyle name="Comma 2 2 4 2 4 2 2" xfId="1070" xr:uid="{23F5FF63-0E92-450A-93AA-96251C0DA8FE}"/>
    <cellStyle name="Comma 2 2 4 2 4 3" xfId="398" xr:uid="{75B789DA-0EC8-4F37-BD8E-F3070C320BCC}"/>
    <cellStyle name="Comma 2 2 4 2 4 4" xfId="846" xr:uid="{B04751CC-00C8-4EC1-A60F-50436DD32C7D}"/>
    <cellStyle name="Comma 2 2 4 2 5" xfId="510" xr:uid="{96F6434C-A254-46CB-B446-2EE18D909E7F}"/>
    <cellStyle name="Comma 2 2 4 2 5 2" xfId="958" xr:uid="{B33CEEAB-2DAD-4E10-97BF-A61AF5A4D171}"/>
    <cellStyle name="Comma 2 2 4 2 6" xfId="286" xr:uid="{EEB35565-FB84-461E-BABB-F1A5D3596E28}"/>
    <cellStyle name="Comma 2 2 4 2 7" xfId="734" xr:uid="{7C67A9CE-55C5-407D-8ABE-D683FA14BDAF}"/>
    <cellStyle name="Comma 2 2 4 3" xfId="72" xr:uid="{AB297A08-E72C-489D-8C34-BA5AB7436A55}"/>
    <cellStyle name="Comma 2 2 4 3 2" xfId="127" xr:uid="{76A8339D-0350-42DB-B637-62FCD28A8466}"/>
    <cellStyle name="Comma 2 2 4 3 2 2" xfId="239" xr:uid="{BFE50BA4-76CD-4AC7-BED0-60F30F7F463C}"/>
    <cellStyle name="Comma 2 2 4 3 2 2 2" xfId="687" xr:uid="{86365E81-14D4-4CC1-9139-DBA8333DDECA}"/>
    <cellStyle name="Comma 2 2 4 3 2 2 2 2" xfId="1135" xr:uid="{F0B6E465-3DB2-40FA-B338-E8A46FA4D1D0}"/>
    <cellStyle name="Comma 2 2 4 3 2 2 3" xfId="463" xr:uid="{A05C71B0-9DB8-4472-831C-7AF96B9AEBF1}"/>
    <cellStyle name="Comma 2 2 4 3 2 2 4" xfId="911" xr:uid="{0EB2B18C-9DAB-48DC-9AE9-70E8398A3431}"/>
    <cellStyle name="Comma 2 2 4 3 2 3" xfId="575" xr:uid="{40CF4C75-10B5-4877-8B84-4D444378D554}"/>
    <cellStyle name="Comma 2 2 4 3 2 3 2" xfId="1023" xr:uid="{26249639-90DC-483D-90F6-A4211D5BE17D}"/>
    <cellStyle name="Comma 2 2 4 3 2 4" xfId="351" xr:uid="{4A0A94A4-8EF8-435D-B11D-297EE48334FC}"/>
    <cellStyle name="Comma 2 2 4 3 2 5" xfId="799" xr:uid="{96E43873-C9E3-4814-AF17-77064058FC3B}"/>
    <cellStyle name="Comma 2 2 4 3 3" xfId="185" xr:uid="{0AE0B1D4-8A95-4F04-ABD9-C37D82595344}"/>
    <cellStyle name="Comma 2 2 4 3 3 2" xfId="633" xr:uid="{8FB12993-C4AC-40A4-B3DC-41C11EC0D8A6}"/>
    <cellStyle name="Comma 2 2 4 3 3 2 2" xfId="1081" xr:uid="{BD81A9F8-E47F-4503-989F-5A5A9D48ACD5}"/>
    <cellStyle name="Comma 2 2 4 3 3 3" xfId="409" xr:uid="{EE468C10-B86D-4648-B44A-37E13844BE57}"/>
    <cellStyle name="Comma 2 2 4 3 3 4" xfId="857" xr:uid="{D2ABE9A5-48C6-4DBA-8351-29A8DE7632BE}"/>
    <cellStyle name="Comma 2 2 4 3 4" xfId="521" xr:uid="{E7E788C6-AE13-4FE0-ABD7-8FB69796AF6E}"/>
    <cellStyle name="Comma 2 2 4 3 4 2" xfId="969" xr:uid="{86E03A80-9835-40A5-BA91-FA417A1795B2}"/>
    <cellStyle name="Comma 2 2 4 3 5" xfId="297" xr:uid="{4002D1BA-D791-441E-985D-456FAC7FC7EE}"/>
    <cellStyle name="Comma 2 2 4 3 6" xfId="745" xr:uid="{A2CBAD0A-77E5-4344-9A43-CDEEC6ABCACD}"/>
    <cellStyle name="Comma 2 2 4 4" xfId="101" xr:uid="{DD99EFFA-9BA9-4A55-B750-9000CE06351B}"/>
    <cellStyle name="Comma 2 2 4 4 2" xfId="214" xr:uid="{B68D52D6-989C-4EF5-8E76-1D5F1F686E8E}"/>
    <cellStyle name="Comma 2 2 4 4 2 2" xfId="662" xr:uid="{C0B70B2E-9367-4F95-BF6D-863DBA51B2B7}"/>
    <cellStyle name="Comma 2 2 4 4 2 2 2" xfId="1110" xr:uid="{E7DFF8F7-AB05-4C6F-BBDE-5B1E12AF7D70}"/>
    <cellStyle name="Comma 2 2 4 4 2 3" xfId="438" xr:uid="{8CF03561-B9A2-4B0C-9160-82049F9E590D}"/>
    <cellStyle name="Comma 2 2 4 4 2 4" xfId="886" xr:uid="{61EDA709-9F7F-442D-A4CC-E1692A0547B4}"/>
    <cellStyle name="Comma 2 2 4 4 3" xfId="550" xr:uid="{54FDE9EB-A068-4E98-8055-968350B60295}"/>
    <cellStyle name="Comma 2 2 4 4 3 2" xfId="998" xr:uid="{EA9D2282-D016-4611-AE34-3B877966DF91}"/>
    <cellStyle name="Comma 2 2 4 4 4" xfId="326" xr:uid="{5498520B-C873-441D-9D5C-555BA9AA56A9}"/>
    <cellStyle name="Comma 2 2 4 4 5" xfId="774" xr:uid="{E2FDBA18-D679-4C25-B075-D573CE72AF92}"/>
    <cellStyle name="Comma 2 2 4 5" xfId="162" xr:uid="{69E72C36-0CF4-47F7-A4FC-6EBE6F5CEB01}"/>
    <cellStyle name="Comma 2 2 4 5 2" xfId="610" xr:uid="{3C124385-4F46-4382-8326-A86444B829FC}"/>
    <cellStyle name="Comma 2 2 4 5 2 2" xfId="1058" xr:uid="{BC7BF91C-7BC7-43BB-858D-82B64D47A678}"/>
    <cellStyle name="Comma 2 2 4 5 3" xfId="386" xr:uid="{7C4310FC-5490-488D-9AEE-2BD148137F70}"/>
    <cellStyle name="Comma 2 2 4 5 4" xfId="834" xr:uid="{6CF9E823-71F7-4A13-8119-64C3CC88F5A0}"/>
    <cellStyle name="Comma 2 2 4 6" xfId="498" xr:uid="{536F2651-0DA0-4E4D-A681-077958875DA7}"/>
    <cellStyle name="Comma 2 2 4 6 2" xfId="946" xr:uid="{93E744B0-07FD-47B2-862D-DD2CFAD72A95}"/>
    <cellStyle name="Comma 2 2 4 7" xfId="274" xr:uid="{BC750469-EE21-41DD-B84E-F7D2BDAEEAF9}"/>
    <cellStyle name="Comma 2 2 4 8" xfId="722" xr:uid="{700D1A12-6057-422A-A1EE-790810895D8D}"/>
    <cellStyle name="Comma 2 2 5" xfId="55" xr:uid="{CDDF7D75-2169-4E48-8F45-C3E972577610}"/>
    <cellStyle name="Comma 2 2 5 2" xfId="78" xr:uid="{810B165A-057B-4EC5-ABC0-DDF37C9ABF99}"/>
    <cellStyle name="Comma 2 2 5 2 2" xfId="133" xr:uid="{4300C4B1-9DE9-4AE4-9E85-E590E2EB006D}"/>
    <cellStyle name="Comma 2 2 5 2 2 2" xfId="245" xr:uid="{440D1C95-D0C7-4792-870A-F64E98FA61EC}"/>
    <cellStyle name="Comma 2 2 5 2 2 2 2" xfId="693" xr:uid="{7FECA85F-48E6-4D9F-9718-3629DECB4778}"/>
    <cellStyle name="Comma 2 2 5 2 2 2 2 2" xfId="1141" xr:uid="{EB356C0E-3CCB-4009-8029-AAC1827E008A}"/>
    <cellStyle name="Comma 2 2 5 2 2 2 3" xfId="469" xr:uid="{2B31615A-F579-4542-9714-3E4E3A73D91C}"/>
    <cellStyle name="Comma 2 2 5 2 2 2 4" xfId="917" xr:uid="{05DEFE4F-155B-4CB2-84CA-D5C2F6285D5A}"/>
    <cellStyle name="Comma 2 2 5 2 2 3" xfId="581" xr:uid="{B177A21C-2A57-4E6D-B500-40D006486DE7}"/>
    <cellStyle name="Comma 2 2 5 2 2 3 2" xfId="1029" xr:uid="{CC3C6F02-311C-43FB-8729-597E7A3FAD1C}"/>
    <cellStyle name="Comma 2 2 5 2 2 4" xfId="357" xr:uid="{7F7706C7-855E-4046-9656-9D07A686EAA7}"/>
    <cellStyle name="Comma 2 2 5 2 2 5" xfId="805" xr:uid="{CE0F9B5C-D1C3-4274-958E-C0DFB52624A8}"/>
    <cellStyle name="Comma 2 2 5 2 3" xfId="191" xr:uid="{AC259878-EC81-4B5F-A1B3-217C48523FEB}"/>
    <cellStyle name="Comma 2 2 5 2 3 2" xfId="639" xr:uid="{7213176E-E71B-4919-BE01-8CE78FC0A1C4}"/>
    <cellStyle name="Comma 2 2 5 2 3 2 2" xfId="1087" xr:uid="{942937F4-EF9B-40E2-8957-3B6F3B143C82}"/>
    <cellStyle name="Comma 2 2 5 2 3 3" xfId="415" xr:uid="{27EA9D2F-A263-4686-8D9C-192BD75B0C79}"/>
    <cellStyle name="Comma 2 2 5 2 3 4" xfId="863" xr:uid="{E9A98906-8125-4F24-9FE5-D4CCC8408362}"/>
    <cellStyle name="Comma 2 2 5 2 4" xfId="527" xr:uid="{131F374E-C24D-478B-A677-ABAA78DF4AD0}"/>
    <cellStyle name="Comma 2 2 5 2 4 2" xfId="975" xr:uid="{B0BC2F42-0726-49DF-905F-86E859846588}"/>
    <cellStyle name="Comma 2 2 5 2 5" xfId="303" xr:uid="{ADFEB461-F78B-43F0-8A76-B9C9E482D185}"/>
    <cellStyle name="Comma 2 2 5 2 6" xfId="751" xr:uid="{083B2857-2139-494D-A0C0-941A55A06C9E}"/>
    <cellStyle name="Comma 2 2 5 3" xfId="107" xr:uid="{85D9D132-FE59-4FCF-BF68-293CD8828906}"/>
    <cellStyle name="Comma 2 2 5 3 2" xfId="220" xr:uid="{9627111A-131A-4A8A-BE6C-6D22FF799BB0}"/>
    <cellStyle name="Comma 2 2 5 3 2 2" xfId="668" xr:uid="{A48A5D9B-2B81-4DA4-B806-3E95F7910B46}"/>
    <cellStyle name="Comma 2 2 5 3 2 2 2" xfId="1116" xr:uid="{2E33DF38-90B8-4DA7-948A-FF55D9BE4FF5}"/>
    <cellStyle name="Comma 2 2 5 3 2 3" xfId="444" xr:uid="{53647B47-DE7F-4D8D-9CAC-AB92D051A51A}"/>
    <cellStyle name="Comma 2 2 5 3 2 4" xfId="892" xr:uid="{F0D291DA-A366-4162-B034-3EB0654444F4}"/>
    <cellStyle name="Comma 2 2 5 3 3" xfId="556" xr:uid="{06D2FA00-C41D-4F6E-A703-74C0B525D647}"/>
    <cellStyle name="Comma 2 2 5 3 3 2" xfId="1004" xr:uid="{8278F568-686F-48AD-9448-33EE343F608C}"/>
    <cellStyle name="Comma 2 2 5 3 4" xfId="332" xr:uid="{811CBC03-8090-4125-9403-A41B564B3E5D}"/>
    <cellStyle name="Comma 2 2 5 3 5" xfId="780" xr:uid="{E9FF334D-821B-43A7-AA4C-D14B0B0545FB}"/>
    <cellStyle name="Comma 2 2 5 4" xfId="168" xr:uid="{78EC414D-2A90-4B11-8E8B-3EA240218F0C}"/>
    <cellStyle name="Comma 2 2 5 4 2" xfId="616" xr:uid="{CAE69E07-CC27-4822-A6FF-DC593ECF41E1}"/>
    <cellStyle name="Comma 2 2 5 4 2 2" xfId="1064" xr:uid="{0B94DEE3-FC4B-454F-94F9-EB8EEE30F468}"/>
    <cellStyle name="Comma 2 2 5 4 3" xfId="392" xr:uid="{27C31E90-0229-4829-BFA7-7EE17B99FCB0}"/>
    <cellStyle name="Comma 2 2 5 4 4" xfId="840" xr:uid="{0CC081F6-A9AE-40CC-897B-5CB704BAD751}"/>
    <cellStyle name="Comma 2 2 5 5" xfId="504" xr:uid="{5B10CF34-6A29-41C1-BD4E-89E163D4C9FB}"/>
    <cellStyle name="Comma 2 2 5 5 2" xfId="952" xr:uid="{FADD829E-1715-43F0-B205-36230F53963A}"/>
    <cellStyle name="Comma 2 2 5 6" xfId="280" xr:uid="{EF6E0810-A3C6-4037-873A-221BBF858C24}"/>
    <cellStyle name="Comma 2 2 5 7" xfId="728" xr:uid="{506EFBC2-C55F-4593-9248-6F272163BBB3}"/>
    <cellStyle name="Comma 2 2 6" xfId="66" xr:uid="{CFA16146-1FBC-444B-AA23-3124886F0D65}"/>
    <cellStyle name="Comma 2 2 6 2" xfId="121" xr:uid="{BCEF1253-2CA8-4029-A16F-9C8B0420B7BE}"/>
    <cellStyle name="Comma 2 2 6 2 2" xfId="233" xr:uid="{74290EAD-BE93-4BB4-983D-3D08885A58B1}"/>
    <cellStyle name="Comma 2 2 6 2 2 2" xfId="681" xr:uid="{B2B7C53F-AEBC-4528-85DF-9DD1142D782C}"/>
    <cellStyle name="Comma 2 2 6 2 2 2 2" xfId="1129" xr:uid="{CD7F1767-0561-4EB3-A318-F3E969C36984}"/>
    <cellStyle name="Comma 2 2 6 2 2 3" xfId="457" xr:uid="{5F0E0CDC-543D-4A22-BA4D-6B14D48C2F06}"/>
    <cellStyle name="Comma 2 2 6 2 2 4" xfId="905" xr:uid="{75C2EFAD-5F1F-4630-9DF5-DAC43C4FACCD}"/>
    <cellStyle name="Comma 2 2 6 2 3" xfId="569" xr:uid="{0BF461A1-1105-48F3-9FB7-159268485C9C}"/>
    <cellStyle name="Comma 2 2 6 2 3 2" xfId="1017" xr:uid="{CE915F0D-A2EC-4B0A-BA33-7F6A18E7A361}"/>
    <cellStyle name="Comma 2 2 6 2 4" xfId="345" xr:uid="{6A8E027B-C8EF-43E9-9AF9-0A3FC65B1807}"/>
    <cellStyle name="Comma 2 2 6 2 5" xfId="793" xr:uid="{84C5029A-6B63-4ED1-946D-9F93313E6187}"/>
    <cellStyle name="Comma 2 2 6 3" xfId="179" xr:uid="{D136F6C8-73F8-4D77-8249-0BA9D2D7258E}"/>
    <cellStyle name="Comma 2 2 6 3 2" xfId="627" xr:uid="{7DF1A518-F783-4F02-8754-FB7687D074AC}"/>
    <cellStyle name="Comma 2 2 6 3 2 2" xfId="1075" xr:uid="{F25659EA-B4F9-4333-86B2-5AE280CA142C}"/>
    <cellStyle name="Comma 2 2 6 3 3" xfId="403" xr:uid="{2A0F139D-ADD0-46F6-8D95-98E33FD1AEE2}"/>
    <cellStyle name="Comma 2 2 6 3 4" xfId="851" xr:uid="{8EB3221A-EAF5-41A8-969D-24FE90791A3A}"/>
    <cellStyle name="Comma 2 2 6 4" xfId="515" xr:uid="{519EE1EC-0EFC-4288-933C-E73B51615B76}"/>
    <cellStyle name="Comma 2 2 6 4 2" xfId="963" xr:uid="{0B03E528-1C77-41DD-87A5-1467E6D0E2A7}"/>
    <cellStyle name="Comma 2 2 6 5" xfId="291" xr:uid="{A1FB1BE4-A7E1-4899-B144-7CED9B456D7E}"/>
    <cellStyle name="Comma 2 2 6 6" xfId="739" xr:uid="{DC41B635-E750-4C10-87D7-9BA383812BE5}"/>
    <cellStyle name="Comma 2 2 7" xfId="95" xr:uid="{1492F10F-A556-4C02-BFF3-1532D1EFA9AE}"/>
    <cellStyle name="Comma 2 2 7 2" xfId="208" xr:uid="{A75F34E4-8823-47E4-91F5-0FD766375C48}"/>
    <cellStyle name="Comma 2 2 7 2 2" xfId="656" xr:uid="{5001B0C7-F413-4230-A33D-71EBB97CC6EA}"/>
    <cellStyle name="Comma 2 2 7 2 2 2" xfId="1104" xr:uid="{D720B438-3BA2-4828-AE7B-31C5CCDA0F80}"/>
    <cellStyle name="Comma 2 2 7 2 3" xfId="432" xr:uid="{AF494608-5E30-4163-B813-F73E9B9DFD4A}"/>
    <cellStyle name="Comma 2 2 7 2 4" xfId="880" xr:uid="{7C4001AE-D1FC-48EE-BC3A-4DCB0C245898}"/>
    <cellStyle name="Comma 2 2 7 3" xfId="544" xr:uid="{0E79DBA6-5D23-43AE-B47C-B142AFD4A804}"/>
    <cellStyle name="Comma 2 2 7 3 2" xfId="992" xr:uid="{E6A74BDA-AAD4-4DCD-9343-DE334469AC5B}"/>
    <cellStyle name="Comma 2 2 7 4" xfId="320" xr:uid="{0D02A06F-EDF4-42DC-8CD3-E87B3E193751}"/>
    <cellStyle name="Comma 2 2 7 5" xfId="768" xr:uid="{18492207-D75A-44C5-9A79-ED1D30687E5F}"/>
    <cellStyle name="Comma 2 2 8" xfId="156" xr:uid="{4A2D6314-0781-4F72-942E-C6011C9223CE}"/>
    <cellStyle name="Comma 2 2 8 2" xfId="604" xr:uid="{8BD8CE4F-8EDD-40F9-8D3B-41D56E427FE6}"/>
    <cellStyle name="Comma 2 2 8 2 2" xfId="1052" xr:uid="{944F544B-061D-4B5B-81F6-ED4BC29442ED}"/>
    <cellStyle name="Comma 2 2 8 3" xfId="380" xr:uid="{385D3606-9946-4A9D-9AFF-E58AEA6DCAFB}"/>
    <cellStyle name="Comma 2 2 8 4" xfId="828" xr:uid="{64DCD629-A3F0-4888-8835-974FA714FE62}"/>
    <cellStyle name="Comma 2 2 9" xfId="492" xr:uid="{65E1E37E-B884-4AAB-95F9-8433DF9699CA}"/>
    <cellStyle name="Comma 2 2 9 2" xfId="940" xr:uid="{75442191-7841-462B-8E6F-060412B4CDC2}"/>
    <cellStyle name="Comma 2 3" xfId="44" xr:uid="{E68995D9-B715-4758-8834-C2A567317700}"/>
    <cellStyle name="Comma 2 3 10" xfId="717" xr:uid="{EDD53AA0-BF4F-4FA0-AE88-8D52C1F79177}"/>
    <cellStyle name="Comma 2 3 2" xfId="48" xr:uid="{8C9CCB69-80CF-4765-9E7D-330EF195A381}"/>
    <cellStyle name="Comma 2 3 2 2" xfId="54" xr:uid="{A6FF17EC-504F-43D8-8EF3-61686F91B6DF}"/>
    <cellStyle name="Comma 2 3 2 2 2" xfId="93" xr:uid="{3734FD79-0F40-41C3-8D12-D586BFA3D5AD}"/>
    <cellStyle name="Comma 2 3 2 2 2 2" xfId="89" xr:uid="{465FA839-46BA-44CD-871B-57BBDE74E38C}"/>
    <cellStyle name="Comma 2 3 2 2 2 2 2" xfId="144" xr:uid="{F65FA918-CD08-4F26-BD6A-298EC2CE8BF9}"/>
    <cellStyle name="Comma 2 3 2 2 2 2 2 2" xfId="256" xr:uid="{4E88F2CF-37C2-4F0A-898B-5062B3E2569C}"/>
    <cellStyle name="Comma 2 3 2 2 2 2 2 2 2" xfId="704" xr:uid="{8AD2DA26-84D8-4378-9846-B3FA98B52F6F}"/>
    <cellStyle name="Comma 2 3 2 2 2 2 2 2 2 2" xfId="1152" xr:uid="{D6396271-B4EB-4BDF-ADFF-13FB03A608FB}"/>
    <cellStyle name="Comma 2 3 2 2 2 2 2 2 3" xfId="480" xr:uid="{0F3662BE-0E46-4B1F-950A-ACD06F64DFB0}"/>
    <cellStyle name="Comma 2 3 2 2 2 2 2 2 4" xfId="928" xr:uid="{D206DD58-4B4C-4C09-825B-7EBDB22465B0}"/>
    <cellStyle name="Comma 2 3 2 2 2 2 2 3" xfId="592" xr:uid="{1A4E4359-58FC-40ED-9103-24B0726716C6}"/>
    <cellStyle name="Comma 2 3 2 2 2 2 2 3 2" xfId="1040" xr:uid="{1D64B04A-F313-4809-B415-997DEDB767A8}"/>
    <cellStyle name="Comma 2 3 2 2 2 2 2 4" xfId="368" xr:uid="{61AF303F-C568-4B52-8A01-188906A13E79}"/>
    <cellStyle name="Comma 2 3 2 2 2 2 2 5" xfId="816" xr:uid="{53C0BF21-D7D1-446C-8F5B-5B990ED935FF}"/>
    <cellStyle name="Comma 2 3 2 2 2 2 3" xfId="202" xr:uid="{2897ACC8-5F23-407C-B813-C40292BE6387}"/>
    <cellStyle name="Comma 2 3 2 2 2 2 3 2" xfId="650" xr:uid="{B02DC4F0-7F61-4593-8E47-4776A132BF6D}"/>
    <cellStyle name="Comma 2 3 2 2 2 2 3 2 2" xfId="1098" xr:uid="{1ED71873-4B04-4790-B5C4-3E507C229966}"/>
    <cellStyle name="Comma 2 3 2 2 2 2 3 3" xfId="426" xr:uid="{0DDC59AB-56BF-41E2-9D19-9E519D547E7A}"/>
    <cellStyle name="Comma 2 3 2 2 2 2 3 4" xfId="874" xr:uid="{2DAFF13D-B4F0-4ABD-AC80-CC50BB424F32}"/>
    <cellStyle name="Comma 2 3 2 2 2 2 4" xfId="538" xr:uid="{C998BFF2-4916-4E51-AC47-3EED7872116B}"/>
    <cellStyle name="Comma 2 3 2 2 2 2 4 2" xfId="986" xr:uid="{A400354A-48B8-4E9F-B77D-4807747CE0D5}"/>
    <cellStyle name="Comma 2 3 2 2 2 2 5" xfId="314" xr:uid="{3A6F46B5-C114-41A9-B242-F0B7364D927B}"/>
    <cellStyle name="Comma 2 3 2 2 2 2 6" xfId="762" xr:uid="{805E2CDD-A51D-45DD-B9F2-061374E5F765}"/>
    <cellStyle name="Comma 2 3 2 2 2 3" xfId="118" xr:uid="{3547E167-206F-4D22-894E-DA4C50CD23D1}"/>
    <cellStyle name="Comma 2 3 2 2 2 3 2" xfId="231" xr:uid="{4AD3CBC5-E27E-4DC3-A521-775A7BA41419}"/>
    <cellStyle name="Comma 2 3 2 2 2 3 2 2" xfId="679" xr:uid="{B41CD4F2-562A-4A08-BF3F-CC34B6C00DBA}"/>
    <cellStyle name="Comma 2 3 2 2 2 3 2 2 2" xfId="1127" xr:uid="{18D7A282-1FC2-4005-B9B9-6E97D46A4C3D}"/>
    <cellStyle name="Comma 2 3 2 2 2 3 2 3" xfId="455" xr:uid="{CA6D98A0-9474-4A38-AFC6-0594593821F4}"/>
    <cellStyle name="Comma 2 3 2 2 2 3 2 4" xfId="903" xr:uid="{1FF8E9B7-016F-4BCC-8CE5-CCE80FEFE309}"/>
    <cellStyle name="Comma 2 3 2 2 2 3 3" xfId="567" xr:uid="{CA873200-4A32-4494-86B8-1D87C5DEBE20}"/>
    <cellStyle name="Comma 2 3 2 2 2 3 3 2" xfId="1015" xr:uid="{B9A01374-4901-4AEE-9765-CE442C27EA5A}"/>
    <cellStyle name="Comma 2 3 2 2 2 3 4" xfId="343" xr:uid="{2E048CB2-3BF9-44BF-BD41-16931EB226DA}"/>
    <cellStyle name="Comma 2 3 2 2 2 3 5" xfId="791" xr:uid="{E75727DB-D436-45BA-B2B7-7BAEF34B98F2}"/>
    <cellStyle name="Comma 2 3 2 2 2 4" xfId="206" xr:uid="{343176D5-B7A5-497D-A720-43C8D9282600}"/>
    <cellStyle name="Comma 2 3 2 2 2 4 2" xfId="654" xr:uid="{90B30A1F-7868-4964-8E7E-7B253C75800F}"/>
    <cellStyle name="Comma 2 3 2 2 2 4 2 2" xfId="1102" xr:uid="{85344390-4366-4F2E-AEEC-B8982459DB02}"/>
    <cellStyle name="Comma 2 3 2 2 2 4 3" xfId="430" xr:uid="{0D6DDA46-F69E-412B-B917-C72D428B51F8}"/>
    <cellStyle name="Comma 2 3 2 2 2 4 4" xfId="878" xr:uid="{DE9CFDF1-FE42-46E4-B865-4BA7F3C0DEC3}"/>
    <cellStyle name="Comma 2 3 2 2 2 5" xfId="542" xr:uid="{18A3426F-EB61-490B-A062-CF9485A2B2EA}"/>
    <cellStyle name="Comma 2 3 2 2 2 5 2" xfId="990" xr:uid="{37557A34-8A1A-4D4C-B5BA-38767D2C10CD}"/>
    <cellStyle name="Comma 2 3 2 2 2 6" xfId="318" xr:uid="{C5BFB449-F7C0-4C2F-AD13-66F7D378C443}"/>
    <cellStyle name="Comma 2 3 2 2 2 7" xfId="766" xr:uid="{998CF759-ACA5-4AD3-BF84-C7843A21F78B}"/>
    <cellStyle name="Comma 2 3 2 2 3" xfId="77" xr:uid="{C9967469-7C73-472F-B25D-E64FC547C8E4}"/>
    <cellStyle name="Comma 2 3 2 2 3 2" xfId="132" xr:uid="{07721945-4CB2-4526-B978-B808D41F1EE2}"/>
    <cellStyle name="Comma 2 3 2 2 3 2 2" xfId="244" xr:uid="{0B9A5757-A201-43BF-95A2-191903EF3111}"/>
    <cellStyle name="Comma 2 3 2 2 3 2 2 2" xfId="692" xr:uid="{CAEECAD8-AB13-449A-A3CF-311BA3A66D4D}"/>
    <cellStyle name="Comma 2 3 2 2 3 2 2 2 2" xfId="1140" xr:uid="{A9047FF2-9741-4EE7-A27F-6E3C777EE76E}"/>
    <cellStyle name="Comma 2 3 2 2 3 2 2 3" xfId="468" xr:uid="{F11D0002-7E60-4401-8EBF-C938FAA5C6BF}"/>
    <cellStyle name="Comma 2 3 2 2 3 2 2 4" xfId="916" xr:uid="{8FA373AD-909B-47D5-88A9-2346D1D02BDF}"/>
    <cellStyle name="Comma 2 3 2 2 3 2 3" xfId="580" xr:uid="{919732D4-F2BE-4230-8A5D-FB0DE03AD93F}"/>
    <cellStyle name="Comma 2 3 2 2 3 2 3 2" xfId="1028" xr:uid="{EE85643A-9E3F-4B11-B7F9-5F05A98E8FE1}"/>
    <cellStyle name="Comma 2 3 2 2 3 2 4" xfId="356" xr:uid="{80921005-82AE-4B51-A987-F9708C7CCA7F}"/>
    <cellStyle name="Comma 2 3 2 2 3 2 5" xfId="804" xr:uid="{CF81A72F-07AC-448E-8D79-FA7D64956B42}"/>
    <cellStyle name="Comma 2 3 2 2 3 3" xfId="190" xr:uid="{E1C6E3D9-99B3-48E0-B633-4F713B975C8B}"/>
    <cellStyle name="Comma 2 3 2 2 3 3 2" xfId="638" xr:uid="{ADD6EE8E-27E6-44CD-BD32-8C03A3DE5F2E}"/>
    <cellStyle name="Comma 2 3 2 2 3 3 2 2" xfId="1086" xr:uid="{FFA2495E-0AB7-4842-8E03-97BCA1B020D7}"/>
    <cellStyle name="Comma 2 3 2 2 3 3 3" xfId="414" xr:uid="{E147340D-6F07-4247-9527-47C9C15B9C1F}"/>
    <cellStyle name="Comma 2 3 2 2 3 3 4" xfId="862" xr:uid="{6A57F918-337E-477C-A126-02D5ABAC02CE}"/>
    <cellStyle name="Comma 2 3 2 2 3 4" xfId="526" xr:uid="{5FDDFE6F-8A10-4514-B6E2-CF149E74DF86}"/>
    <cellStyle name="Comma 2 3 2 2 3 4 2" xfId="974" xr:uid="{E92B162F-B857-4E03-8617-ED5A101A6E12}"/>
    <cellStyle name="Comma 2 3 2 2 3 5" xfId="302" xr:uid="{6C02B153-7B5E-4537-9A61-8756C3918BAC}"/>
    <cellStyle name="Comma 2 3 2 2 3 6" xfId="750" xr:uid="{A15EF0ED-EB53-4BCE-88C4-A6E47AFECE86}"/>
    <cellStyle name="Comma 2 3 2 2 4" xfId="106" xr:uid="{DF8E2CB5-D52F-4346-B780-AC39B6411D97}"/>
    <cellStyle name="Comma 2 3 2 2 4 2" xfId="219" xr:uid="{81AA6A9A-48F0-49F8-B627-234FA3C9E00D}"/>
    <cellStyle name="Comma 2 3 2 2 4 2 2" xfId="667" xr:uid="{C8469B83-1FAE-46C6-88AD-A5FA7F28E632}"/>
    <cellStyle name="Comma 2 3 2 2 4 2 2 2" xfId="1115" xr:uid="{4431BF7D-5ADE-4C5D-BFC6-59931898401F}"/>
    <cellStyle name="Comma 2 3 2 2 4 2 3" xfId="443" xr:uid="{B0110A34-7FE1-4FDD-9535-9FDEA380D52C}"/>
    <cellStyle name="Comma 2 3 2 2 4 2 4" xfId="891" xr:uid="{F2CA69E1-4360-4E15-9B28-E9ECF97D79DB}"/>
    <cellStyle name="Comma 2 3 2 2 4 3" xfId="555" xr:uid="{03F73AD4-FC74-4CD6-88BA-E35D1961E886}"/>
    <cellStyle name="Comma 2 3 2 2 4 3 2" xfId="1003" xr:uid="{C4B1142E-23A3-4118-BD07-EB1E097653AD}"/>
    <cellStyle name="Comma 2 3 2 2 4 4" xfId="331" xr:uid="{48C96288-AB9B-4104-A76A-E39787B32AEF}"/>
    <cellStyle name="Comma 2 3 2 2 4 5" xfId="779" xr:uid="{8FFED7EF-D3A6-4713-9C94-CC7A52DD63F2}"/>
    <cellStyle name="Comma 2 3 2 2 5" xfId="167" xr:uid="{2C06A7B3-AED7-4B02-B75C-59F42D2CA76A}"/>
    <cellStyle name="Comma 2 3 2 2 5 2" xfId="615" xr:uid="{AD381930-38F9-4F9F-9F2B-201F56DC65AB}"/>
    <cellStyle name="Comma 2 3 2 2 5 2 2" xfId="1063" xr:uid="{BD0F4BE6-7099-4C98-9D54-60237BF14015}"/>
    <cellStyle name="Comma 2 3 2 2 5 3" xfId="391" xr:uid="{F244BFE6-D7B9-461B-860D-F4181E790CA0}"/>
    <cellStyle name="Comma 2 3 2 2 5 4" xfId="839" xr:uid="{37DD09F2-C632-4048-BD05-582D63C57ED2}"/>
    <cellStyle name="Comma 2 3 2 2 6" xfId="503" xr:uid="{8CEEF8A8-DE69-40B9-B93B-B64ECAB02243}"/>
    <cellStyle name="Comma 2 3 2 2 6 2" xfId="951" xr:uid="{54A0FA37-045D-44EE-AA12-135E95A709D0}"/>
    <cellStyle name="Comma 2 3 2 2 7" xfId="279" xr:uid="{78DFBF3D-1D7A-4E91-999E-A792707E910A}"/>
    <cellStyle name="Comma 2 3 2 2 8" xfId="727" xr:uid="{EEC90A31-168B-4AB7-B08F-98BBB42F5718}"/>
    <cellStyle name="Comma 2 3 2 3" xfId="60" xr:uid="{1EA27E37-55FD-44CA-98DA-5A911FCEBAF0}"/>
    <cellStyle name="Comma 2 3 2 3 2" xfId="83" xr:uid="{1EBD0A45-0F61-4DEC-B368-F0B8D217ABBE}"/>
    <cellStyle name="Comma 2 3 2 3 2 2" xfId="138" xr:uid="{69303024-FE9B-4CE7-AFD6-8B81B361284A}"/>
    <cellStyle name="Comma 2 3 2 3 2 2 2" xfId="250" xr:uid="{774B3010-A75C-4CB4-BE46-2CBD30ABF394}"/>
    <cellStyle name="Comma 2 3 2 3 2 2 2 2" xfId="698" xr:uid="{F9C20175-3A82-40F1-B751-7709445FD6A9}"/>
    <cellStyle name="Comma 2 3 2 3 2 2 2 2 2" xfId="1146" xr:uid="{8330CAD4-1269-44F1-9F48-2991D26DBBE4}"/>
    <cellStyle name="Comma 2 3 2 3 2 2 2 3" xfId="474" xr:uid="{98C84D62-4D81-4566-8EFE-D46405706C25}"/>
    <cellStyle name="Comma 2 3 2 3 2 2 2 4" xfId="922" xr:uid="{215CE4F9-A184-4A51-B9B1-92D2A854B559}"/>
    <cellStyle name="Comma 2 3 2 3 2 2 3" xfId="586" xr:uid="{E759B15E-8AAC-4A57-ADC5-3F2BB09FCF6C}"/>
    <cellStyle name="Comma 2 3 2 3 2 2 3 2" xfId="1034" xr:uid="{93DB158E-F9B7-44EA-98B4-A3B17F455A3D}"/>
    <cellStyle name="Comma 2 3 2 3 2 2 4" xfId="362" xr:uid="{1B42D453-8DA3-4CA0-A2BD-C7F5ECFCBBE7}"/>
    <cellStyle name="Comma 2 3 2 3 2 2 5" xfId="810" xr:uid="{C488B1E5-FDCD-4BA9-825F-5AA4746E4754}"/>
    <cellStyle name="Comma 2 3 2 3 2 3" xfId="196" xr:uid="{39EB7F40-73E2-4456-A371-3C79C96E5118}"/>
    <cellStyle name="Comma 2 3 2 3 2 3 2" xfId="644" xr:uid="{834F9B5E-F452-4E12-98A2-D174C50E03AC}"/>
    <cellStyle name="Comma 2 3 2 3 2 3 2 2" xfId="1092" xr:uid="{055B8045-7D5D-45F6-BA6E-000D27B8C2CD}"/>
    <cellStyle name="Comma 2 3 2 3 2 3 3" xfId="420" xr:uid="{44048952-1358-45AF-807F-CA34F27C19BF}"/>
    <cellStyle name="Comma 2 3 2 3 2 3 4" xfId="868" xr:uid="{2B7E9834-6428-4D02-8351-529D55991EA3}"/>
    <cellStyle name="Comma 2 3 2 3 2 4" xfId="532" xr:uid="{96E2DE9F-EEAF-45C9-8778-91038F7D6761}"/>
    <cellStyle name="Comma 2 3 2 3 2 4 2" xfId="980" xr:uid="{316F837A-C2DC-44DC-B6B2-713F8578F60D}"/>
    <cellStyle name="Comma 2 3 2 3 2 5" xfId="308" xr:uid="{43EB7CCF-02D1-4925-AFFC-111B6DA6C8E4}"/>
    <cellStyle name="Comma 2 3 2 3 2 6" xfId="756" xr:uid="{CC2BDADD-B917-4E4C-8FC3-D3E914AA099C}"/>
    <cellStyle name="Comma 2 3 2 3 3" xfId="112" xr:uid="{0FFF074B-83D7-4ED9-B9C9-E7DD89236647}"/>
    <cellStyle name="Comma 2 3 2 3 3 2" xfId="225" xr:uid="{96032382-8704-4AEA-B97C-7B011662D728}"/>
    <cellStyle name="Comma 2 3 2 3 3 2 2" xfId="673" xr:uid="{0483A2CD-7032-4182-9D67-6BB51325450F}"/>
    <cellStyle name="Comma 2 3 2 3 3 2 2 2" xfId="1121" xr:uid="{E7CFB0C5-7029-426A-8F8A-AC8A94D6BF85}"/>
    <cellStyle name="Comma 2 3 2 3 3 2 3" xfId="449" xr:uid="{98AA1F4C-4562-4F14-A2C0-97257CA6053D}"/>
    <cellStyle name="Comma 2 3 2 3 3 2 4" xfId="897" xr:uid="{30944F1B-A688-41E5-88B4-6D8F336B5D7A}"/>
    <cellStyle name="Comma 2 3 2 3 3 3" xfId="561" xr:uid="{4C0D6CC2-2B56-41E8-8029-DE9539F6225C}"/>
    <cellStyle name="Comma 2 3 2 3 3 3 2" xfId="1009" xr:uid="{FE76839D-C501-497B-BE28-136D6BE7FE35}"/>
    <cellStyle name="Comma 2 3 2 3 3 4" xfId="337" xr:uid="{6D373E15-233F-4583-AFF0-76ABFE8AF950}"/>
    <cellStyle name="Comma 2 3 2 3 3 5" xfId="785" xr:uid="{5B6576BC-8CAA-48BB-9729-9938DD33AB8A}"/>
    <cellStyle name="Comma 2 3 2 3 4" xfId="173" xr:uid="{911E4B89-E004-47ED-9832-ACC0B52B38BC}"/>
    <cellStyle name="Comma 2 3 2 3 4 2" xfId="621" xr:uid="{FADC1C83-9690-4394-B9E5-70355D4F85BD}"/>
    <cellStyle name="Comma 2 3 2 3 4 2 2" xfId="1069" xr:uid="{AFE4F679-6DC1-4BFA-AAA4-AF8AA145A2F1}"/>
    <cellStyle name="Comma 2 3 2 3 4 3" xfId="397" xr:uid="{7077505C-39D6-48E6-B787-450E0E6FA11A}"/>
    <cellStyle name="Comma 2 3 2 3 4 4" xfId="845" xr:uid="{6F893514-79A5-4F81-B787-73EFEA8436B1}"/>
    <cellStyle name="Comma 2 3 2 3 5" xfId="509" xr:uid="{A272E644-579A-4EB4-AC0F-94BF76B4250F}"/>
    <cellStyle name="Comma 2 3 2 3 5 2" xfId="957" xr:uid="{AEDD5475-6260-4707-8311-55B0E91F1372}"/>
    <cellStyle name="Comma 2 3 2 3 6" xfId="285" xr:uid="{C0AB74F7-A95B-44A5-9370-C2FE87FC8EF1}"/>
    <cellStyle name="Comma 2 3 2 3 7" xfId="733" xr:uid="{D2F558E7-4306-4312-8D14-1D2ECB740C0A}"/>
    <cellStyle name="Comma 2 3 2 4" xfId="71" xr:uid="{0401F1D0-4A55-428F-9A04-FE9805F488BA}"/>
    <cellStyle name="Comma 2 3 2 4 2" xfId="126" xr:uid="{1DF6AA26-E73B-4700-BD4E-21BA6CB9F919}"/>
    <cellStyle name="Comma 2 3 2 4 2 2" xfId="238" xr:uid="{BA226A0D-8C0B-4DF5-92CB-8C7FFFC19441}"/>
    <cellStyle name="Comma 2 3 2 4 2 2 2" xfId="686" xr:uid="{357AA486-E7F8-472E-BFE3-1AE989512BDC}"/>
    <cellStyle name="Comma 2 3 2 4 2 2 2 2" xfId="1134" xr:uid="{02E50708-BA28-4DE3-889C-F1B5283CE497}"/>
    <cellStyle name="Comma 2 3 2 4 2 2 3" xfId="462" xr:uid="{C809C216-538B-43C5-ABCF-7536ABA1D9A6}"/>
    <cellStyle name="Comma 2 3 2 4 2 2 4" xfId="910" xr:uid="{D7CFDCF1-EA39-4891-BD7B-ED0D3F0A14D1}"/>
    <cellStyle name="Comma 2 3 2 4 2 3" xfId="574" xr:uid="{BAFC5539-495E-4021-BBD2-7F18DEC4B159}"/>
    <cellStyle name="Comma 2 3 2 4 2 3 2" xfId="1022" xr:uid="{6D5C44B5-7DC2-444D-B960-9B60958B0AD1}"/>
    <cellStyle name="Comma 2 3 2 4 2 4" xfId="350" xr:uid="{706D801E-0BDA-4B23-B0ED-7A19559BFDE8}"/>
    <cellStyle name="Comma 2 3 2 4 2 5" xfId="798" xr:uid="{7F1E181F-4FF4-4DD1-8224-D29E3131B803}"/>
    <cellStyle name="Comma 2 3 2 4 3" xfId="184" xr:uid="{CD3A2205-DA9E-4E51-8750-E343519190BC}"/>
    <cellStyle name="Comma 2 3 2 4 3 2" xfId="632" xr:uid="{D1378445-52B1-4E8F-933E-56986674CBC1}"/>
    <cellStyle name="Comma 2 3 2 4 3 2 2" xfId="1080" xr:uid="{9558DCF9-7DD2-4C40-8360-5309D7463CE5}"/>
    <cellStyle name="Comma 2 3 2 4 3 3" xfId="408" xr:uid="{EBE282B3-2E41-482A-85D1-4DB9C3F02AA7}"/>
    <cellStyle name="Comma 2 3 2 4 3 4" xfId="856" xr:uid="{012AF906-5278-454F-BE58-7AEC5587C321}"/>
    <cellStyle name="Comma 2 3 2 4 4" xfId="520" xr:uid="{DD919781-B4AB-4A99-8A98-705FA021ABE5}"/>
    <cellStyle name="Comma 2 3 2 4 4 2" xfId="968" xr:uid="{0A167CF3-3B3D-4B61-8C1A-6A23195AE8DF}"/>
    <cellStyle name="Comma 2 3 2 4 5" xfId="296" xr:uid="{090CE72D-462A-4A5B-A709-3E2B950F11A8}"/>
    <cellStyle name="Comma 2 3 2 4 6" xfId="744" xr:uid="{83A39C01-012C-4CD8-BFFE-3E166B775A3B}"/>
    <cellStyle name="Comma 2 3 2 5" xfId="100" xr:uid="{91A378F3-A8EF-4AC4-AE49-B5C55D6190E5}"/>
    <cellStyle name="Comma 2 3 2 5 2" xfId="213" xr:uid="{F7C31B94-0A40-4AE7-A1FE-05814FFDD068}"/>
    <cellStyle name="Comma 2 3 2 5 2 2" xfId="661" xr:uid="{CB74C002-0BE3-4434-8D4C-A1D470D841A6}"/>
    <cellStyle name="Comma 2 3 2 5 2 2 2" xfId="1109" xr:uid="{E0487F16-6DE9-4E13-8898-01C7C371DCAF}"/>
    <cellStyle name="Comma 2 3 2 5 2 3" xfId="437" xr:uid="{26775BBD-ED15-4170-8E06-8EF65255220B}"/>
    <cellStyle name="Comma 2 3 2 5 2 4" xfId="885" xr:uid="{E693E16D-2AD8-4B39-AB0A-B4D676287196}"/>
    <cellStyle name="Comma 2 3 2 5 3" xfId="549" xr:uid="{BA39E692-552C-4D69-958E-939304BB2362}"/>
    <cellStyle name="Comma 2 3 2 5 3 2" xfId="997" xr:uid="{435470FD-20B5-4BF9-A24E-82764D07F06D}"/>
    <cellStyle name="Comma 2 3 2 5 4" xfId="325" xr:uid="{8EE394ED-5B41-4AB1-A71E-A8118FF3C114}"/>
    <cellStyle name="Comma 2 3 2 5 5" xfId="773" xr:uid="{776C8174-3AB3-4581-8CE6-C62883397CF9}"/>
    <cellStyle name="Comma 2 3 2 6" xfId="161" xr:uid="{C985EBC9-F89A-4EF4-8EBA-F2F5CD8911C6}"/>
    <cellStyle name="Comma 2 3 2 6 2" xfId="609" xr:uid="{F2033235-956F-4BCF-801A-40E0D9B77BDC}"/>
    <cellStyle name="Comma 2 3 2 6 2 2" xfId="1057" xr:uid="{12775EAA-CC64-4283-A776-ECFC8832E945}"/>
    <cellStyle name="Comma 2 3 2 6 3" xfId="385" xr:uid="{B61A0125-6566-47BE-8BD8-64652209C42D}"/>
    <cellStyle name="Comma 2 3 2 6 4" xfId="833" xr:uid="{A2471BE0-9A38-4AE4-9821-558B2C01EC8A}"/>
    <cellStyle name="Comma 2 3 2 7" xfId="497" xr:uid="{724E4B4C-ACB3-49D0-A47B-91BE1EB62470}"/>
    <cellStyle name="Comma 2 3 2 7 2" xfId="945" xr:uid="{8C5DD0F7-38D0-4563-A50F-94E403570F84}"/>
    <cellStyle name="Comma 2 3 2 8" xfId="273" xr:uid="{CDB0CF08-5D69-43D5-B2F5-FF676627B7BF}"/>
    <cellStyle name="Comma 2 3 2 9" xfId="721" xr:uid="{B9DBC845-DA01-42C1-B05D-E78C39AC0F24}"/>
    <cellStyle name="Comma 2 3 3" xfId="50" xr:uid="{8BCBD1EA-8719-46AF-9CA7-7633B621B04B}"/>
    <cellStyle name="Comma 2 3 3 2" xfId="62" xr:uid="{E8EB8A8E-4A5C-45C8-9C73-2339B1D1CB9B}"/>
    <cellStyle name="Comma 2 3 3 2 2" xfId="85" xr:uid="{41140F74-0951-4BBD-A1E9-EBB895366000}"/>
    <cellStyle name="Comma 2 3 3 2 2 2" xfId="140" xr:uid="{637AA0DE-2A9F-4A01-A39E-FB41DB29E4A2}"/>
    <cellStyle name="Comma 2 3 3 2 2 2 2" xfId="252" xr:uid="{8BC248DC-8D61-4B05-94C8-A18A44D30071}"/>
    <cellStyle name="Comma 2 3 3 2 2 2 2 2" xfId="700" xr:uid="{A268A535-8001-46AF-B277-40398B55F9D6}"/>
    <cellStyle name="Comma 2 3 3 2 2 2 2 2 2" xfId="1148" xr:uid="{CB9471CE-73C0-496C-9C63-031C4103B964}"/>
    <cellStyle name="Comma 2 3 3 2 2 2 2 3" xfId="476" xr:uid="{2EFB03C0-7595-4B1D-B5A0-4A303709C233}"/>
    <cellStyle name="Comma 2 3 3 2 2 2 2 4" xfId="924" xr:uid="{12166A30-A958-48B8-8CD9-1DF5807D3F5A}"/>
    <cellStyle name="Comma 2 3 3 2 2 2 3" xfId="588" xr:uid="{8D5176B9-6AFA-460B-BA1A-DF89920DCA60}"/>
    <cellStyle name="Comma 2 3 3 2 2 2 3 2" xfId="1036" xr:uid="{F5839D9F-35CE-46ED-AD98-4FA30E5BC9BF}"/>
    <cellStyle name="Comma 2 3 3 2 2 2 4" xfId="364" xr:uid="{B8EABBF2-93E0-4985-8B74-254EEF12A016}"/>
    <cellStyle name="Comma 2 3 3 2 2 2 5" xfId="812" xr:uid="{43470622-8E26-4DF4-A009-F4FB43810119}"/>
    <cellStyle name="Comma 2 3 3 2 2 3" xfId="198" xr:uid="{F858B733-A69F-44EE-A62F-678B28C26F09}"/>
    <cellStyle name="Comma 2 3 3 2 2 3 2" xfId="646" xr:uid="{DC39AF44-F005-48CF-997E-EB378CF95D8A}"/>
    <cellStyle name="Comma 2 3 3 2 2 3 2 2" xfId="1094" xr:uid="{7D527C00-C71B-49F2-B643-67E703AD33E8}"/>
    <cellStyle name="Comma 2 3 3 2 2 3 3" xfId="422" xr:uid="{38888C91-D1E3-445F-93D2-C61BE2FE2410}"/>
    <cellStyle name="Comma 2 3 3 2 2 3 4" xfId="870" xr:uid="{E521D0C5-EF7B-4002-A2BF-17221B1AD1EE}"/>
    <cellStyle name="Comma 2 3 3 2 2 4" xfId="534" xr:uid="{770E20B0-C7FB-436A-AC4B-D4B442FF1179}"/>
    <cellStyle name="Comma 2 3 3 2 2 4 2" xfId="982" xr:uid="{7FCD2A39-673F-4BA3-ABF4-6D320578E361}"/>
    <cellStyle name="Comma 2 3 3 2 2 5" xfId="310" xr:uid="{80553B0A-410D-44F7-A7D4-B5A3774997D7}"/>
    <cellStyle name="Comma 2 3 3 2 2 6" xfId="758" xr:uid="{CB4815A6-5B36-46E9-8489-9EF7DFDBCF0E}"/>
    <cellStyle name="Comma 2 3 3 2 3" xfId="114" xr:uid="{4671CE24-EEE5-48FF-B578-DCD4FB0AEAFB}"/>
    <cellStyle name="Comma 2 3 3 2 3 2" xfId="227" xr:uid="{56673895-C58D-4E1A-BA24-40DF96F8A43C}"/>
    <cellStyle name="Comma 2 3 3 2 3 2 2" xfId="675" xr:uid="{6EA2A02B-2D2A-4909-8071-F1E33471A894}"/>
    <cellStyle name="Comma 2 3 3 2 3 2 2 2" xfId="1123" xr:uid="{24024C36-A12A-44BF-A295-390E228E8FA5}"/>
    <cellStyle name="Comma 2 3 3 2 3 2 3" xfId="451" xr:uid="{DB26960C-4BC2-4FC6-A1B6-FC53ECAA88E2}"/>
    <cellStyle name="Comma 2 3 3 2 3 2 4" xfId="899" xr:uid="{05B6F149-1627-44C2-AC7B-6C3BB26A7BCE}"/>
    <cellStyle name="Comma 2 3 3 2 3 3" xfId="563" xr:uid="{A0748459-0896-4E45-876C-72E8F1A5130E}"/>
    <cellStyle name="Comma 2 3 3 2 3 3 2" xfId="1011" xr:uid="{4095BA5C-1493-4E12-A259-A463921BB528}"/>
    <cellStyle name="Comma 2 3 3 2 3 4" xfId="339" xr:uid="{82809C98-D6E6-4B1C-8109-07EE3FF88EC3}"/>
    <cellStyle name="Comma 2 3 3 2 3 5" xfId="787" xr:uid="{AD5E38BC-7B80-4D5C-B906-5FBC823BD3AD}"/>
    <cellStyle name="Comma 2 3 3 2 4" xfId="175" xr:uid="{8F57D28D-91AD-4A29-9EF4-F81002CB97DE}"/>
    <cellStyle name="Comma 2 3 3 2 4 2" xfId="623" xr:uid="{D60946E1-AE72-4040-80ED-DD4DFAE83712}"/>
    <cellStyle name="Comma 2 3 3 2 4 2 2" xfId="1071" xr:uid="{16151E1F-6A35-43A4-96CF-EE7E2C33953F}"/>
    <cellStyle name="Comma 2 3 3 2 4 3" xfId="399" xr:uid="{BB330E52-7886-4C21-9A5A-A37AA2A2F735}"/>
    <cellStyle name="Comma 2 3 3 2 4 4" xfId="847" xr:uid="{432F5535-78D3-4564-8ADE-C5C09BFBCF0A}"/>
    <cellStyle name="Comma 2 3 3 2 5" xfId="511" xr:uid="{1C7088BC-4261-4875-997B-8ED5D96E13B1}"/>
    <cellStyle name="Comma 2 3 3 2 5 2" xfId="959" xr:uid="{98898433-DFBB-4C35-98C1-6FEE5FD7BAC4}"/>
    <cellStyle name="Comma 2 3 3 2 6" xfId="287" xr:uid="{A1E9E9F2-FE32-42EA-9E10-F56BF95110A1}"/>
    <cellStyle name="Comma 2 3 3 2 7" xfId="735" xr:uid="{4AD8AF39-30E4-4480-88B2-A012A84FEDA3}"/>
    <cellStyle name="Comma 2 3 3 3" xfId="73" xr:uid="{9CE208B8-6CC7-4B3A-B87C-6812EF26AF85}"/>
    <cellStyle name="Comma 2 3 3 3 2" xfId="128" xr:uid="{3CBED44B-4154-4FBD-8388-FF8906CCBCCA}"/>
    <cellStyle name="Comma 2 3 3 3 2 2" xfId="240" xr:uid="{F6319DE0-55BD-4942-B980-A22AFF84D201}"/>
    <cellStyle name="Comma 2 3 3 3 2 2 2" xfId="688" xr:uid="{72CF5594-F3C9-4873-A9B8-C7C6DD3E1DC1}"/>
    <cellStyle name="Comma 2 3 3 3 2 2 2 2" xfId="1136" xr:uid="{C1CCDB76-36B2-45A1-B696-8DB3A031FCD9}"/>
    <cellStyle name="Comma 2 3 3 3 2 2 3" xfId="464" xr:uid="{BE6F6AD6-AD4C-4342-8308-A45810512A26}"/>
    <cellStyle name="Comma 2 3 3 3 2 2 4" xfId="912" xr:uid="{3B4A7722-06A0-47D3-89E4-2383CB7444CF}"/>
    <cellStyle name="Comma 2 3 3 3 2 3" xfId="576" xr:uid="{A4A3B97B-A247-4670-87B5-B384AAD40F07}"/>
    <cellStyle name="Comma 2 3 3 3 2 3 2" xfId="1024" xr:uid="{332D7C9D-CD56-457B-B032-AAB5DBAE96B2}"/>
    <cellStyle name="Comma 2 3 3 3 2 4" xfId="352" xr:uid="{1B063696-7E50-448E-AED7-3882F8862935}"/>
    <cellStyle name="Comma 2 3 3 3 2 5" xfId="800" xr:uid="{5A707D11-2027-4DC8-A951-F609D0C03BAE}"/>
    <cellStyle name="Comma 2 3 3 3 3" xfId="186" xr:uid="{CD1EB07A-94ED-4A3C-B9AD-63719E428220}"/>
    <cellStyle name="Comma 2 3 3 3 3 2" xfId="634" xr:uid="{1C121DB4-6F3E-464B-A28C-1545F8E732B9}"/>
    <cellStyle name="Comma 2 3 3 3 3 2 2" xfId="1082" xr:uid="{A7823FA5-65B6-4F5B-BE2E-D3D7847AF166}"/>
    <cellStyle name="Comma 2 3 3 3 3 3" xfId="410" xr:uid="{09737163-2DC5-4DCD-95C5-1F5872C5D570}"/>
    <cellStyle name="Comma 2 3 3 3 3 4" xfId="858" xr:uid="{3C264F0F-B66A-429E-B596-89C2E4E63EEB}"/>
    <cellStyle name="Comma 2 3 3 3 4" xfId="522" xr:uid="{7310B60A-EE04-4006-BE5D-0138B017D554}"/>
    <cellStyle name="Comma 2 3 3 3 4 2" xfId="970" xr:uid="{28AAD545-46AF-44C6-A4FF-2335DF568E16}"/>
    <cellStyle name="Comma 2 3 3 3 5" xfId="298" xr:uid="{8459F9B7-CD77-408C-9155-D8636325BC76}"/>
    <cellStyle name="Comma 2 3 3 3 6" xfId="746" xr:uid="{204DCE24-53E4-433A-8823-418CC8AD51AF}"/>
    <cellStyle name="Comma 2 3 3 4" xfId="102" xr:uid="{30388FA1-33C2-4431-AC0C-5D337976625F}"/>
    <cellStyle name="Comma 2 3 3 4 2" xfId="215" xr:uid="{5E10C785-80BD-4879-AC09-2882B3BE5EEA}"/>
    <cellStyle name="Comma 2 3 3 4 2 2" xfId="663" xr:uid="{C3C05EFD-69B0-42EA-9FC2-C92385142EFF}"/>
    <cellStyle name="Comma 2 3 3 4 2 2 2" xfId="1111" xr:uid="{8191AEF4-8C55-4FCA-BCB2-4B24C26ADE9B}"/>
    <cellStyle name="Comma 2 3 3 4 2 3" xfId="439" xr:uid="{3D6C4CBA-A008-4987-A888-6541F053FAA6}"/>
    <cellStyle name="Comma 2 3 3 4 2 4" xfId="887" xr:uid="{34BE2BDB-C667-41E4-991D-FB840CB29DE2}"/>
    <cellStyle name="Comma 2 3 3 4 3" xfId="551" xr:uid="{A4F580EC-A26F-40A5-8690-0A9A100EDB9B}"/>
    <cellStyle name="Comma 2 3 3 4 3 2" xfId="999" xr:uid="{E076152A-E949-4CDF-8F9E-EDF3EE49E680}"/>
    <cellStyle name="Comma 2 3 3 4 4" xfId="327" xr:uid="{8371C1A2-98F9-4152-96B3-C54494F9EEA4}"/>
    <cellStyle name="Comma 2 3 3 4 5" xfId="775" xr:uid="{31C38FA0-9F61-4EE9-9B65-081FDD1816E1}"/>
    <cellStyle name="Comma 2 3 3 5" xfId="163" xr:uid="{6D2A093B-146B-484A-AE6E-258EAD8B8BEA}"/>
    <cellStyle name="Comma 2 3 3 5 2" xfId="611" xr:uid="{381D064A-F727-454A-A0AA-AA5A4DEB677D}"/>
    <cellStyle name="Comma 2 3 3 5 2 2" xfId="1059" xr:uid="{4A48794E-6D5D-4468-9B60-1BD3C2EBD74F}"/>
    <cellStyle name="Comma 2 3 3 5 3" xfId="387" xr:uid="{A060B7E9-2941-44B5-A170-BC872087B30A}"/>
    <cellStyle name="Comma 2 3 3 5 4" xfId="835" xr:uid="{27C65EB3-169F-430F-8067-77235B1EF4B6}"/>
    <cellStyle name="Comma 2 3 3 6" xfId="499" xr:uid="{0B4DEE3F-8519-4F58-93C4-3F645AB22902}"/>
    <cellStyle name="Comma 2 3 3 6 2" xfId="947" xr:uid="{1B167B64-7637-4FA3-A5E9-D233E00C63FE}"/>
    <cellStyle name="Comma 2 3 3 7" xfId="275" xr:uid="{4A2A6696-E080-4897-A696-440CC196D20C}"/>
    <cellStyle name="Comma 2 3 3 8" xfId="723" xr:uid="{BFFC2FC7-6A88-4FDC-8F03-44D52990848C}"/>
    <cellStyle name="Comma 2 3 4" xfId="56" xr:uid="{83DDCB30-E9B3-45D8-8295-AE94AEE1FDCF}"/>
    <cellStyle name="Comma 2 3 4 2" xfId="79" xr:uid="{6D00AB00-63A2-4460-8D09-FE434B55CDD8}"/>
    <cellStyle name="Comma 2 3 4 2 2" xfId="134" xr:uid="{27FF1303-06F5-4208-AD2A-EBC01ED50A37}"/>
    <cellStyle name="Comma 2 3 4 2 2 2" xfId="246" xr:uid="{557EA232-C57D-437A-A056-5A5E2BA4E73D}"/>
    <cellStyle name="Comma 2 3 4 2 2 2 2" xfId="694" xr:uid="{B68E5BDF-F5F0-4E80-8AC6-D19FF7A973A0}"/>
    <cellStyle name="Comma 2 3 4 2 2 2 2 2" xfId="1142" xr:uid="{C709EB61-E93A-483B-B471-0A16F691B2B8}"/>
    <cellStyle name="Comma 2 3 4 2 2 2 3" xfId="470" xr:uid="{0109AB82-6C07-4071-856F-D50F84566EEE}"/>
    <cellStyle name="Comma 2 3 4 2 2 2 4" xfId="918" xr:uid="{830B7F42-4F73-40BD-9678-1C86E7BD98D0}"/>
    <cellStyle name="Comma 2 3 4 2 2 3" xfId="582" xr:uid="{550063BB-487F-4F68-AAEC-E83C31032667}"/>
    <cellStyle name="Comma 2 3 4 2 2 3 2" xfId="1030" xr:uid="{6C2466A2-D5EA-4677-928F-FCEBCD9D9D4F}"/>
    <cellStyle name="Comma 2 3 4 2 2 4" xfId="358" xr:uid="{31364D40-3B9E-47F6-8776-2A816E539982}"/>
    <cellStyle name="Comma 2 3 4 2 2 5" xfId="806" xr:uid="{A7618115-26AD-4E54-8210-C5641C15C462}"/>
    <cellStyle name="Comma 2 3 4 2 3" xfId="192" xr:uid="{9DD2DB77-FBEF-4544-AC85-C7324CD8D8D0}"/>
    <cellStyle name="Comma 2 3 4 2 3 2" xfId="640" xr:uid="{3F845CCA-CE14-4FDD-BE80-2A0C6B8E342F}"/>
    <cellStyle name="Comma 2 3 4 2 3 2 2" xfId="1088" xr:uid="{4E9516E8-220C-4AA8-B14E-3682F028C4BE}"/>
    <cellStyle name="Comma 2 3 4 2 3 3" xfId="416" xr:uid="{80C260A8-3207-4BD3-A783-3B5B7EE95751}"/>
    <cellStyle name="Comma 2 3 4 2 3 4" xfId="864" xr:uid="{2CC643F8-DF8B-47E5-8830-F30DE4885225}"/>
    <cellStyle name="Comma 2 3 4 2 4" xfId="528" xr:uid="{C8CAE7CF-CB2F-4414-B877-B47372638589}"/>
    <cellStyle name="Comma 2 3 4 2 4 2" xfId="976" xr:uid="{5A22DB5D-91C9-413E-A987-4ED49F87DB68}"/>
    <cellStyle name="Comma 2 3 4 2 5" xfId="304" xr:uid="{114FD910-C7DE-4E85-A70E-526EDA72983A}"/>
    <cellStyle name="Comma 2 3 4 2 6" xfId="752" xr:uid="{E14CBB7D-221A-43D4-AA63-1A8F57D90AED}"/>
    <cellStyle name="Comma 2 3 4 3" xfId="108" xr:uid="{393B90D4-A41B-4DC5-985C-A4312300A212}"/>
    <cellStyle name="Comma 2 3 4 3 2" xfId="221" xr:uid="{A1A3B33B-EBB1-4CB4-B102-E44D5E210082}"/>
    <cellStyle name="Comma 2 3 4 3 2 2" xfId="669" xr:uid="{4BBCF741-177D-4789-9C5A-1CF24662C31D}"/>
    <cellStyle name="Comma 2 3 4 3 2 2 2" xfId="1117" xr:uid="{526A1429-80B1-473D-AD21-CC27D71888E5}"/>
    <cellStyle name="Comma 2 3 4 3 2 3" xfId="445" xr:uid="{C08E0A9F-0A9B-4B74-B508-2E473BC88175}"/>
    <cellStyle name="Comma 2 3 4 3 2 4" xfId="893" xr:uid="{D1A9E4BE-7503-4069-A687-CB2B03F38778}"/>
    <cellStyle name="Comma 2 3 4 3 3" xfId="557" xr:uid="{FF2FA1D7-4D97-497D-A230-2E59A529B811}"/>
    <cellStyle name="Comma 2 3 4 3 3 2" xfId="1005" xr:uid="{346CBCBE-C63F-4D5E-A8E1-E7B877D9F8DF}"/>
    <cellStyle name="Comma 2 3 4 3 4" xfId="333" xr:uid="{0ACAFBF9-3CAF-4AB6-A608-6CD1BDB21753}"/>
    <cellStyle name="Comma 2 3 4 3 5" xfId="781" xr:uid="{9581F778-4583-419A-B28D-A6F43F6CFD00}"/>
    <cellStyle name="Comma 2 3 4 4" xfId="169" xr:uid="{0812C0C7-AA20-447E-AC10-63A61FD45BFA}"/>
    <cellStyle name="Comma 2 3 4 4 2" xfId="617" xr:uid="{17F31087-BFC2-4611-A31B-4D2D51A51CA2}"/>
    <cellStyle name="Comma 2 3 4 4 2 2" xfId="1065" xr:uid="{17D54CA2-7D24-4FCE-B14F-9EEA5E303183}"/>
    <cellStyle name="Comma 2 3 4 4 3" xfId="393" xr:uid="{157C6C6F-E614-42B4-9A26-3A42BADD518E}"/>
    <cellStyle name="Comma 2 3 4 4 4" xfId="841" xr:uid="{300297A7-BEE5-4E6D-B837-B69F1408609D}"/>
    <cellStyle name="Comma 2 3 4 5" xfId="505" xr:uid="{812B9AF0-367E-439C-A8FE-D34485A705B2}"/>
    <cellStyle name="Comma 2 3 4 5 2" xfId="953" xr:uid="{03BA1CE1-EE50-47A9-BA64-2D3663917F46}"/>
    <cellStyle name="Comma 2 3 4 6" xfId="281" xr:uid="{D9C6860B-1329-40D3-95FC-40D296222CBD}"/>
    <cellStyle name="Comma 2 3 4 7" xfId="729" xr:uid="{98805AF7-EEE6-406B-A3B4-0FD9276DC1E8}"/>
    <cellStyle name="Comma 2 3 5" xfId="67" xr:uid="{97354EAE-4D3B-4967-9528-BEF1625144AB}"/>
    <cellStyle name="Comma 2 3 5 2" xfId="122" xr:uid="{384A4056-D337-4479-BF73-50F2EB5DB3FA}"/>
    <cellStyle name="Comma 2 3 5 2 2" xfId="234" xr:uid="{BF3DA829-0625-4C3E-BAA4-E03A70D67548}"/>
    <cellStyle name="Comma 2 3 5 2 2 2" xfId="682" xr:uid="{F50D4611-F958-416A-9F16-D2A216145476}"/>
    <cellStyle name="Comma 2 3 5 2 2 2 2" xfId="1130" xr:uid="{6FBC6246-8254-494A-A89F-B400C5DB0A76}"/>
    <cellStyle name="Comma 2 3 5 2 2 3" xfId="458" xr:uid="{7E24B828-7EFD-4A1C-BFC3-B1DD9E0F2CC1}"/>
    <cellStyle name="Comma 2 3 5 2 2 4" xfId="906" xr:uid="{9360EFB5-6BC2-4E83-993A-EE5F08B489B8}"/>
    <cellStyle name="Comma 2 3 5 2 3" xfId="570" xr:uid="{7BF40227-41DB-4C78-87D0-46DDA887D236}"/>
    <cellStyle name="Comma 2 3 5 2 3 2" xfId="1018" xr:uid="{A5EA0FB0-6B47-40B8-8A3B-AB0C24A881E7}"/>
    <cellStyle name="Comma 2 3 5 2 4" xfId="346" xr:uid="{ED8AC7BD-589D-4F3D-BDEA-4D1302805255}"/>
    <cellStyle name="Comma 2 3 5 2 5" xfId="794" xr:uid="{1902AF21-4090-46B8-B3D8-2D5BEA614C40}"/>
    <cellStyle name="Comma 2 3 5 3" xfId="180" xr:uid="{90D34D80-A92E-4748-8A41-D227F4B29C65}"/>
    <cellStyle name="Comma 2 3 5 3 2" xfId="628" xr:uid="{FA547566-8634-4FBB-B143-5E677CCEBF07}"/>
    <cellStyle name="Comma 2 3 5 3 2 2" xfId="1076" xr:uid="{5B4CBD53-F9EA-4554-A131-3D1DC9983ECD}"/>
    <cellStyle name="Comma 2 3 5 3 3" xfId="404" xr:uid="{965EBC81-2D62-4BC0-9430-B230F2B18BDE}"/>
    <cellStyle name="Comma 2 3 5 3 4" xfId="852" xr:uid="{23533FB8-4B2B-447A-9261-4F6677F1AEED}"/>
    <cellStyle name="Comma 2 3 5 4" xfId="516" xr:uid="{517C2650-FCE9-4247-A9DB-66872AAF250F}"/>
    <cellStyle name="Comma 2 3 5 4 2" xfId="964" xr:uid="{55F5136E-9E33-4E36-89C5-041E817194F2}"/>
    <cellStyle name="Comma 2 3 5 5" xfId="292" xr:uid="{C5ADB0B8-88A0-4C29-B1C2-1521CDF6B1B1}"/>
    <cellStyle name="Comma 2 3 5 6" xfId="740" xr:uid="{CBCBD8B5-C91B-4453-8196-80FB7A533C14}"/>
    <cellStyle name="Comma 2 3 6" xfId="96" xr:uid="{E5F65351-335A-427B-9A30-6CFA60B24922}"/>
    <cellStyle name="Comma 2 3 6 2" xfId="209" xr:uid="{F1567D00-208B-4CF3-8BC0-66C9F8D38FC1}"/>
    <cellStyle name="Comma 2 3 6 2 2" xfId="657" xr:uid="{9E18D5AA-792F-4D8E-9570-77FADE08D28F}"/>
    <cellStyle name="Comma 2 3 6 2 2 2" xfId="1105" xr:uid="{8E39DECA-3F01-4D6E-80E4-96630D2DD6C4}"/>
    <cellStyle name="Comma 2 3 6 2 3" xfId="433" xr:uid="{929917DD-E954-42FB-AFDE-0B0B82BA619F}"/>
    <cellStyle name="Comma 2 3 6 2 4" xfId="881" xr:uid="{4D43FEF4-B901-43F3-8A2F-816A8D13EFFE}"/>
    <cellStyle name="Comma 2 3 6 3" xfId="545" xr:uid="{044C5BE4-6B9A-42E8-A07C-D7262C4555F9}"/>
    <cellStyle name="Comma 2 3 6 3 2" xfId="993" xr:uid="{43A110A7-5951-4C26-8CCB-9C93B7DF4E7D}"/>
    <cellStyle name="Comma 2 3 6 4" xfId="321" xr:uid="{77347689-E589-4E35-AE14-F8124634D80B}"/>
    <cellStyle name="Comma 2 3 6 5" xfId="769" xr:uid="{FD467880-5413-4455-AF84-B5B35F6AE6B6}"/>
    <cellStyle name="Comma 2 3 7" xfId="157" xr:uid="{477093D4-8E20-4048-9752-A9CA4A0DC0ED}"/>
    <cellStyle name="Comma 2 3 7 2" xfId="605" xr:uid="{BB012297-4C13-4D89-B14F-316133D979EC}"/>
    <cellStyle name="Comma 2 3 7 2 2" xfId="1053" xr:uid="{736378AE-5A6B-47B3-AF21-3ED2FC3623BC}"/>
    <cellStyle name="Comma 2 3 7 3" xfId="381" xr:uid="{E1943D17-435A-4340-8FD3-D747BEFFE8DB}"/>
    <cellStyle name="Comma 2 3 7 4" xfId="829" xr:uid="{55BCD58E-F01A-4A1B-A782-13203291D1A2}"/>
    <cellStyle name="Comma 2 3 8" xfId="493" xr:uid="{476BC828-D16A-415E-B53B-F157C6B04655}"/>
    <cellStyle name="Comma 2 3 8 2" xfId="941" xr:uid="{4873CF52-70B3-4C75-87CC-662317AAB09A}"/>
    <cellStyle name="Comma 2 3 9" xfId="269" xr:uid="{88603486-2E86-42E8-AADA-5A87A7475D3E}"/>
    <cellStyle name="Comma 2 4" xfId="46" xr:uid="{CB6A296E-726A-4739-BF8D-3CF76D13F8DE}"/>
    <cellStyle name="Comma 2 4 2" xfId="52" xr:uid="{5DD08AFC-6CCE-4CDB-A751-7331E21DBB3E}"/>
    <cellStyle name="Comma 2 4 2 2" xfId="64" xr:uid="{463175F0-5688-42A7-B428-89556D42831E}"/>
    <cellStyle name="Comma 2 4 2 2 2" xfId="87" xr:uid="{C63D5E07-3BFD-4E28-8A9E-B2B318083705}"/>
    <cellStyle name="Comma 2 4 2 2 2 2" xfId="142" xr:uid="{6B3F24EE-DF37-46CB-A3E2-0BF37FCB1FE8}"/>
    <cellStyle name="Comma 2 4 2 2 2 2 2" xfId="254" xr:uid="{0068A1EB-FA16-4E5C-BB68-ABBCE3747286}"/>
    <cellStyle name="Comma 2 4 2 2 2 2 2 2" xfId="702" xr:uid="{BBC39C3E-D2F1-437F-A987-084557CC2AF6}"/>
    <cellStyle name="Comma 2 4 2 2 2 2 2 2 2" xfId="1150" xr:uid="{7998BDBB-8ED2-43F8-B09E-2509446D7160}"/>
    <cellStyle name="Comma 2 4 2 2 2 2 2 3" xfId="478" xr:uid="{4FD76E2C-E8E1-4993-8DBB-B557234F2640}"/>
    <cellStyle name="Comma 2 4 2 2 2 2 2 4" xfId="926" xr:uid="{F46FF4AB-9015-4167-9527-178303868042}"/>
    <cellStyle name="Comma 2 4 2 2 2 2 3" xfId="590" xr:uid="{68DD2B8B-6543-41B2-A787-6FFB808E051F}"/>
    <cellStyle name="Comma 2 4 2 2 2 2 3 2" xfId="1038" xr:uid="{036A76B2-F94A-4001-82DB-97EB38C354F7}"/>
    <cellStyle name="Comma 2 4 2 2 2 2 4" xfId="366" xr:uid="{291095C4-D06C-4149-9234-4D3FA85F063F}"/>
    <cellStyle name="Comma 2 4 2 2 2 2 5" xfId="814" xr:uid="{C68F30F3-A754-4867-AC84-51CD022F91E5}"/>
    <cellStyle name="Comma 2 4 2 2 2 3" xfId="200" xr:uid="{D4BB5C02-1305-4B6D-8C48-FCBFD96E9ED9}"/>
    <cellStyle name="Comma 2 4 2 2 2 3 2" xfId="648" xr:uid="{3BC68C78-57DC-49EA-8B38-DE1A3B3E98CD}"/>
    <cellStyle name="Comma 2 4 2 2 2 3 2 2" xfId="1096" xr:uid="{343ABDC5-D89F-4376-A10B-66A0B8F78CD5}"/>
    <cellStyle name="Comma 2 4 2 2 2 3 3" xfId="424" xr:uid="{38C630EA-6FAF-413F-93AF-9D7A73F12251}"/>
    <cellStyle name="Comma 2 4 2 2 2 3 4" xfId="872" xr:uid="{607F9C6C-4435-4B96-ADA8-5C2180F4666F}"/>
    <cellStyle name="Comma 2 4 2 2 2 4" xfId="536" xr:uid="{1D97AE05-C7BB-43D3-98AD-131A17EF81D6}"/>
    <cellStyle name="Comma 2 4 2 2 2 4 2" xfId="984" xr:uid="{B4310CFC-36F1-4F6D-B966-96A58BCA4A38}"/>
    <cellStyle name="Comma 2 4 2 2 2 5" xfId="312" xr:uid="{B1A08491-5EFD-43C1-814C-1AFC92B02F91}"/>
    <cellStyle name="Comma 2 4 2 2 2 6" xfId="760" xr:uid="{4EDCCEB0-7916-4508-8551-BC9B1EEAE2F1}"/>
    <cellStyle name="Comma 2 4 2 2 3" xfId="116" xr:uid="{04F33399-10E3-46ED-A55B-1EE72B7B5D1C}"/>
    <cellStyle name="Comma 2 4 2 2 3 2" xfId="229" xr:uid="{CAF60774-0766-413F-8932-F0B900A9C9E6}"/>
    <cellStyle name="Comma 2 4 2 2 3 2 2" xfId="677" xr:uid="{37B383CD-ED08-46A4-8FF0-F9B4D06933E0}"/>
    <cellStyle name="Comma 2 4 2 2 3 2 2 2" xfId="1125" xr:uid="{E02C01DF-BC3B-41DB-BB72-A64F85E8010E}"/>
    <cellStyle name="Comma 2 4 2 2 3 2 3" xfId="453" xr:uid="{685D7709-9503-4273-A51C-1637626DE81E}"/>
    <cellStyle name="Comma 2 4 2 2 3 2 4" xfId="901" xr:uid="{A16114B8-22FE-42A0-9B49-5D9B82B8C736}"/>
    <cellStyle name="Comma 2 4 2 2 3 3" xfId="565" xr:uid="{462E5603-0497-4876-8EBB-35000F544012}"/>
    <cellStyle name="Comma 2 4 2 2 3 3 2" xfId="1013" xr:uid="{1A7AFE53-A38A-4E6C-A1DE-63DE69BAEAEA}"/>
    <cellStyle name="Comma 2 4 2 2 3 4" xfId="341" xr:uid="{A9B1F065-282A-4806-88E1-D8BD97B830EE}"/>
    <cellStyle name="Comma 2 4 2 2 3 5" xfId="789" xr:uid="{570F721A-C34A-4FAF-A81C-873E269EC55C}"/>
    <cellStyle name="Comma 2 4 2 2 4" xfId="177" xr:uid="{95D2E24B-84AA-4B3A-AE22-3310254DDA80}"/>
    <cellStyle name="Comma 2 4 2 2 4 2" xfId="625" xr:uid="{4DF26152-F086-452E-AF3B-2A5062ADAD94}"/>
    <cellStyle name="Comma 2 4 2 2 4 2 2" xfId="1073" xr:uid="{27259021-A76E-46D3-B0C7-4A0ABD9EB719}"/>
    <cellStyle name="Comma 2 4 2 2 4 3" xfId="401" xr:uid="{3221C7F3-D6AD-4214-B09D-306F5E653AD8}"/>
    <cellStyle name="Comma 2 4 2 2 4 4" xfId="849" xr:uid="{07DC75D1-5304-42B6-82CA-ECFA798CEBAC}"/>
    <cellStyle name="Comma 2 4 2 2 5" xfId="513" xr:uid="{B4AD5071-017B-4AFC-9C50-95233070D4E0}"/>
    <cellStyle name="Comma 2 4 2 2 5 2" xfId="961" xr:uid="{C856917C-DD61-4643-A4C4-60A2941D5F6F}"/>
    <cellStyle name="Comma 2 4 2 2 6" xfId="289" xr:uid="{22C81837-DF73-4F56-8BE8-5B3D47ABFD62}"/>
    <cellStyle name="Comma 2 4 2 2 7" xfId="737" xr:uid="{2B9783FD-4F75-40DD-9A9A-ED9CB056C03C}"/>
    <cellStyle name="Comma 2 4 2 3" xfId="75" xr:uid="{17D7D998-62BA-4FA6-9A39-72B72C37F9DA}"/>
    <cellStyle name="Comma 2 4 2 3 2" xfId="130" xr:uid="{180723EE-AD0C-42DB-A652-7B2FE87D79A8}"/>
    <cellStyle name="Comma 2 4 2 3 2 2" xfId="242" xr:uid="{2C7B16C2-63B0-46DD-9876-1022F3E61F2E}"/>
    <cellStyle name="Comma 2 4 2 3 2 2 2" xfId="690" xr:uid="{86709240-82AC-437F-8EFC-165AE235261D}"/>
    <cellStyle name="Comma 2 4 2 3 2 2 2 2" xfId="1138" xr:uid="{DC0C7412-642B-4190-A51F-38A573B6436D}"/>
    <cellStyle name="Comma 2 4 2 3 2 2 3" xfId="466" xr:uid="{7FFC0ABB-10C2-4C8A-A5B0-B905C268013D}"/>
    <cellStyle name="Comma 2 4 2 3 2 2 4" xfId="914" xr:uid="{FE11920E-2B40-4B40-AE87-5BF03141FCD9}"/>
    <cellStyle name="Comma 2 4 2 3 2 3" xfId="578" xr:uid="{011B90D9-53E3-49F1-BC56-E305DBA06B0D}"/>
    <cellStyle name="Comma 2 4 2 3 2 3 2" xfId="1026" xr:uid="{5D4847D2-066F-4C6E-9291-EAB7512B75DF}"/>
    <cellStyle name="Comma 2 4 2 3 2 4" xfId="354" xr:uid="{75E44DFB-A63E-45DD-AF50-09EA329E6DBB}"/>
    <cellStyle name="Comma 2 4 2 3 2 5" xfId="802" xr:uid="{711F6BCC-6048-4E09-A99B-52C77A5CC8DC}"/>
    <cellStyle name="Comma 2 4 2 3 3" xfId="188" xr:uid="{6DD8A465-DEA0-4D18-86DC-A6FB711AD638}"/>
    <cellStyle name="Comma 2 4 2 3 3 2" xfId="636" xr:uid="{54372D4E-3607-4389-82E1-E906605F0FDF}"/>
    <cellStyle name="Comma 2 4 2 3 3 2 2" xfId="1084" xr:uid="{DEDBEC74-189F-4003-B00B-22B7FA5A32FD}"/>
    <cellStyle name="Comma 2 4 2 3 3 3" xfId="412" xr:uid="{7F5BDAC0-072E-4247-B5FC-932BEA9F46C6}"/>
    <cellStyle name="Comma 2 4 2 3 3 4" xfId="860" xr:uid="{4069B92C-7476-4178-A99F-F9E3C5F8E254}"/>
    <cellStyle name="Comma 2 4 2 3 4" xfId="524" xr:uid="{6A9E68BC-6862-41F8-A6B3-3EE5F60B04D3}"/>
    <cellStyle name="Comma 2 4 2 3 4 2" xfId="972" xr:uid="{575DE6F0-4978-4123-A94E-7ABCD1F1F246}"/>
    <cellStyle name="Comma 2 4 2 3 5" xfId="300" xr:uid="{6AB79915-8D89-4FB8-A329-2874330156CB}"/>
    <cellStyle name="Comma 2 4 2 3 6" xfId="748" xr:uid="{BF96EC16-6389-4A3E-B2DA-61D1501799C1}"/>
    <cellStyle name="Comma 2 4 2 4" xfId="104" xr:uid="{A7F19F3E-150B-4A29-9A17-BDB360FAC811}"/>
    <cellStyle name="Comma 2 4 2 4 2" xfId="217" xr:uid="{6B883F7C-8D2F-4103-A73D-7C2B6BF5177D}"/>
    <cellStyle name="Comma 2 4 2 4 2 2" xfId="665" xr:uid="{EDB3D18F-31CC-470C-94CA-1D28554F91DD}"/>
    <cellStyle name="Comma 2 4 2 4 2 2 2" xfId="1113" xr:uid="{A4C25EDF-5674-4F1D-9593-074C18F00B72}"/>
    <cellStyle name="Comma 2 4 2 4 2 3" xfId="441" xr:uid="{976B375A-16D8-4DA2-B081-A11A43C2F4AF}"/>
    <cellStyle name="Comma 2 4 2 4 2 4" xfId="889" xr:uid="{ADE4A7BF-8F09-4A7B-BC3C-F6C8588C91AB}"/>
    <cellStyle name="Comma 2 4 2 4 3" xfId="553" xr:uid="{F4BFA601-8E8D-463E-AE36-0334DCFD785F}"/>
    <cellStyle name="Comma 2 4 2 4 3 2" xfId="1001" xr:uid="{FED9ABB4-09B2-4A14-9686-F0380F595097}"/>
    <cellStyle name="Comma 2 4 2 4 4" xfId="329" xr:uid="{552B8985-B8BD-4251-B62C-03CE4966993B}"/>
    <cellStyle name="Comma 2 4 2 4 5" xfId="777" xr:uid="{46605244-F2B4-4A05-A979-F467045BE21F}"/>
    <cellStyle name="Comma 2 4 2 5" xfId="165" xr:uid="{096FE83B-2E39-452D-9331-058B789A7011}"/>
    <cellStyle name="Comma 2 4 2 5 2" xfId="613" xr:uid="{A1DEEA11-B778-4042-BC67-B33E343ECC34}"/>
    <cellStyle name="Comma 2 4 2 5 2 2" xfId="1061" xr:uid="{504BA577-AF53-4A99-A922-9BFB1C83EAC6}"/>
    <cellStyle name="Comma 2 4 2 5 3" xfId="389" xr:uid="{F7FA92DC-4B5C-4135-BDE6-75996692F993}"/>
    <cellStyle name="Comma 2 4 2 5 4" xfId="837" xr:uid="{640734F2-7A78-4C3D-A266-CBCF0905151F}"/>
    <cellStyle name="Comma 2 4 2 6" xfId="501" xr:uid="{976A6C1E-C71F-4F4A-98F6-7A157EFDD40D}"/>
    <cellStyle name="Comma 2 4 2 6 2" xfId="949" xr:uid="{381ED765-B01C-459D-8097-B411A8C7DD5E}"/>
    <cellStyle name="Comma 2 4 2 7" xfId="277" xr:uid="{CE0FF61F-3345-4860-94DD-A10EF8729389}"/>
    <cellStyle name="Comma 2 4 2 8" xfId="725" xr:uid="{0F4B3B09-4ACF-4700-B2D1-E0575A6E7596}"/>
    <cellStyle name="Comma 2 4 3" xfId="58" xr:uid="{EE36C507-7F48-4655-9853-0ED438257964}"/>
    <cellStyle name="Comma 2 4 3 2" xfId="81" xr:uid="{D86175CF-2919-4713-9390-D9A430470050}"/>
    <cellStyle name="Comma 2 4 3 2 2" xfId="136" xr:uid="{64A78EDC-6779-4B18-A5B3-0CAA4EF603F7}"/>
    <cellStyle name="Comma 2 4 3 2 2 2" xfId="248" xr:uid="{5B228B42-8577-4CD2-AF8E-989D372A2ACA}"/>
    <cellStyle name="Comma 2 4 3 2 2 2 2" xfId="696" xr:uid="{8A980144-7083-45F1-B4AA-A6955A7FBC8B}"/>
    <cellStyle name="Comma 2 4 3 2 2 2 2 2" xfId="1144" xr:uid="{A72618F0-5B4D-41B5-A382-2CB918B71A8E}"/>
    <cellStyle name="Comma 2 4 3 2 2 2 3" xfId="472" xr:uid="{41A40667-63B0-49CF-9430-43CAD5BF0091}"/>
    <cellStyle name="Comma 2 4 3 2 2 2 4" xfId="920" xr:uid="{8546D7FE-36B1-4893-A401-CC391DABCB86}"/>
    <cellStyle name="Comma 2 4 3 2 2 3" xfId="584" xr:uid="{E9F5A3CF-AD1B-4A95-BEEB-45758C6AC430}"/>
    <cellStyle name="Comma 2 4 3 2 2 3 2" xfId="1032" xr:uid="{ED64C980-49A2-410D-B710-68F1C4475B37}"/>
    <cellStyle name="Comma 2 4 3 2 2 4" xfId="360" xr:uid="{20398ED0-831E-45CB-99BD-846800961A87}"/>
    <cellStyle name="Comma 2 4 3 2 2 5" xfId="808" xr:uid="{A90D482B-FA52-4725-B67C-7D7C6427BF30}"/>
    <cellStyle name="Comma 2 4 3 2 3" xfId="194" xr:uid="{5AB9BF16-751E-4BFB-8669-BC56273ABF8D}"/>
    <cellStyle name="Comma 2 4 3 2 3 2" xfId="642" xr:uid="{9F4740F3-6137-402B-A03B-FC6962D254CF}"/>
    <cellStyle name="Comma 2 4 3 2 3 2 2" xfId="1090" xr:uid="{B54E4314-4EC3-43DB-BFAC-2862E2B074A8}"/>
    <cellStyle name="Comma 2 4 3 2 3 3" xfId="418" xr:uid="{9AF70C3A-0F03-4C0D-8988-83AE7AB30F10}"/>
    <cellStyle name="Comma 2 4 3 2 3 4" xfId="866" xr:uid="{DD4550C0-83EE-45D9-8343-8323CC4B61B7}"/>
    <cellStyle name="Comma 2 4 3 2 4" xfId="530" xr:uid="{7F08BE02-CFA6-42A7-BF15-7236381967E3}"/>
    <cellStyle name="Comma 2 4 3 2 4 2" xfId="978" xr:uid="{06E8AE00-B35E-4322-A07F-B21496EC6107}"/>
    <cellStyle name="Comma 2 4 3 2 5" xfId="306" xr:uid="{22B9C5FA-47F1-4696-8A16-0491A37191B2}"/>
    <cellStyle name="Comma 2 4 3 2 6" xfId="754" xr:uid="{399422AD-9E77-4719-8E83-A23D934999CB}"/>
    <cellStyle name="Comma 2 4 3 3" xfId="110" xr:uid="{2EAFA4DC-9859-4DAC-B00D-5097A576ACF8}"/>
    <cellStyle name="Comma 2 4 3 3 2" xfId="223" xr:uid="{432C9A4B-7347-4C88-B61E-3738220AAC1E}"/>
    <cellStyle name="Comma 2 4 3 3 2 2" xfId="671" xr:uid="{DFEED220-DC0B-4ED1-A406-230A03C170DB}"/>
    <cellStyle name="Comma 2 4 3 3 2 2 2" xfId="1119" xr:uid="{BD5EA0DF-2BBF-4A62-B534-9F8ACA878101}"/>
    <cellStyle name="Comma 2 4 3 3 2 3" xfId="447" xr:uid="{10BAD190-5132-44F3-AE3F-75AE677B40F8}"/>
    <cellStyle name="Comma 2 4 3 3 2 4" xfId="895" xr:uid="{E3D3F453-751B-4A38-B777-4E172E61EE16}"/>
    <cellStyle name="Comma 2 4 3 3 3" xfId="559" xr:uid="{770D25BA-49AC-4150-89B8-C19880E13809}"/>
    <cellStyle name="Comma 2 4 3 3 3 2" xfId="1007" xr:uid="{DF92E949-06EE-4E3D-8B82-29627DF7892B}"/>
    <cellStyle name="Comma 2 4 3 3 4" xfId="335" xr:uid="{737A7BE6-BF46-45D0-94CB-367FF96979E9}"/>
    <cellStyle name="Comma 2 4 3 3 5" xfId="783" xr:uid="{CBC3432A-BA93-45A5-A8E6-8AC7FF295225}"/>
    <cellStyle name="Comma 2 4 3 4" xfId="171" xr:uid="{B23D7DE6-DF3C-40AA-9797-B254D3290CEC}"/>
    <cellStyle name="Comma 2 4 3 4 2" xfId="619" xr:uid="{5BAB1E27-BC0D-4DFA-BEBA-ABB0A07DF9DC}"/>
    <cellStyle name="Comma 2 4 3 4 2 2" xfId="1067" xr:uid="{FFFDF7F6-6B77-4673-A2F0-D861BC758E96}"/>
    <cellStyle name="Comma 2 4 3 4 3" xfId="395" xr:uid="{C56DB34E-62C1-4F90-AF30-AF53D145A768}"/>
    <cellStyle name="Comma 2 4 3 4 4" xfId="843" xr:uid="{9B80B833-7151-4599-B69F-2075284A8C5F}"/>
    <cellStyle name="Comma 2 4 3 5" xfId="507" xr:uid="{188911A9-30A3-45E8-B568-9A2028A83588}"/>
    <cellStyle name="Comma 2 4 3 5 2" xfId="955" xr:uid="{E0A57B73-1963-453E-AAD5-1D994E7E834D}"/>
    <cellStyle name="Comma 2 4 3 6" xfId="283" xr:uid="{27AF8BA8-EE56-4195-B969-70360F5803A8}"/>
    <cellStyle name="Comma 2 4 3 7" xfId="731" xr:uid="{3C1967F9-4D8D-403F-91C4-732D0490E213}"/>
    <cellStyle name="Comma 2 4 4" xfId="69" xr:uid="{6579C30A-48CF-40D9-8F9F-3A42630F5BD4}"/>
    <cellStyle name="Comma 2 4 4 2" xfId="124" xr:uid="{32BD24D1-915C-4BB5-A5A3-CA359CFEF374}"/>
    <cellStyle name="Comma 2 4 4 2 2" xfId="236" xr:uid="{F541D0AA-D0FC-4E56-A306-B42B1F30C3C1}"/>
    <cellStyle name="Comma 2 4 4 2 2 2" xfId="684" xr:uid="{124282BF-0819-4AA4-B93B-900E3AF86104}"/>
    <cellStyle name="Comma 2 4 4 2 2 2 2" xfId="1132" xr:uid="{723895F9-1DE5-41AD-83F4-EBCD204F342B}"/>
    <cellStyle name="Comma 2 4 4 2 2 3" xfId="460" xr:uid="{710940F4-0B1F-4823-8D11-063CA21D6405}"/>
    <cellStyle name="Comma 2 4 4 2 2 4" xfId="908" xr:uid="{C897528A-502D-4ECD-85DF-C679F5964BB6}"/>
    <cellStyle name="Comma 2 4 4 2 3" xfId="572" xr:uid="{57F674C5-5C89-45B3-8B29-4AD95017399C}"/>
    <cellStyle name="Comma 2 4 4 2 3 2" xfId="1020" xr:uid="{E9776628-C740-4E4F-8D54-E7E0B38484C8}"/>
    <cellStyle name="Comma 2 4 4 2 4" xfId="348" xr:uid="{47D3BC93-0EB5-42FD-B347-BBF46871F7F8}"/>
    <cellStyle name="Comma 2 4 4 2 5" xfId="796" xr:uid="{6DF29FAD-FF12-4930-B798-C6A484C7F7CB}"/>
    <cellStyle name="Comma 2 4 4 3" xfId="182" xr:uid="{598DE033-9DCB-4B07-9CEF-20169332AC45}"/>
    <cellStyle name="Comma 2 4 4 3 2" xfId="630" xr:uid="{73743358-D982-402E-B169-77CDE7376668}"/>
    <cellStyle name="Comma 2 4 4 3 2 2" xfId="1078" xr:uid="{06C2A8A9-FE9E-46BC-9532-DB880E9A528C}"/>
    <cellStyle name="Comma 2 4 4 3 3" xfId="406" xr:uid="{D5902E53-2909-4DE5-B7E9-327A15974999}"/>
    <cellStyle name="Comma 2 4 4 3 4" xfId="854" xr:uid="{C328F96D-4D71-424D-9E15-647185E29D02}"/>
    <cellStyle name="Comma 2 4 4 4" xfId="518" xr:uid="{6C66E9A6-3471-4DCB-824D-5CDF07945DEE}"/>
    <cellStyle name="Comma 2 4 4 4 2" xfId="966" xr:uid="{E8767D68-31F6-42C0-A845-5868254AEF43}"/>
    <cellStyle name="Comma 2 4 4 5" xfId="294" xr:uid="{9FD79CF1-BEAA-430F-B578-D5E50BB81A0A}"/>
    <cellStyle name="Comma 2 4 4 6" xfId="742" xr:uid="{5AF7795A-676E-4563-88C6-3E24DE8736D4}"/>
    <cellStyle name="Comma 2 4 5" xfId="98" xr:uid="{A83C7EEE-FC24-4495-AF7A-98FF6B8E7F9B}"/>
    <cellStyle name="Comma 2 4 5 2" xfId="211" xr:uid="{2FB16EB4-9406-427A-A366-CDF0B6BC1CA3}"/>
    <cellStyle name="Comma 2 4 5 2 2" xfId="659" xr:uid="{3F8A6176-200E-4A10-86A9-2B4873356298}"/>
    <cellStyle name="Comma 2 4 5 2 2 2" xfId="1107" xr:uid="{C1DBF5D7-521F-4175-85CE-63F0E08549DF}"/>
    <cellStyle name="Comma 2 4 5 2 3" xfId="435" xr:uid="{23D125E5-118A-4F17-B9AC-665680522159}"/>
    <cellStyle name="Comma 2 4 5 2 4" xfId="883" xr:uid="{E448E63A-8BF4-4103-B427-4D2E81F56773}"/>
    <cellStyle name="Comma 2 4 5 3" xfId="547" xr:uid="{673D88AD-CD09-443D-8175-214FDF430918}"/>
    <cellStyle name="Comma 2 4 5 3 2" xfId="995" xr:uid="{52A70EA6-3B68-4FA0-A98F-49E3BE8BB4DE}"/>
    <cellStyle name="Comma 2 4 5 4" xfId="323" xr:uid="{B3C97A36-2284-41BB-BAD9-534AF3D7E5C5}"/>
    <cellStyle name="Comma 2 4 5 5" xfId="771" xr:uid="{2DB57B19-7505-4C43-AEAA-24D48E790EBC}"/>
    <cellStyle name="Comma 2 4 6" xfId="159" xr:uid="{033280FE-3651-422A-99C9-349163D8F3B0}"/>
    <cellStyle name="Comma 2 4 6 2" xfId="607" xr:uid="{93B00D89-CC80-42A3-93DE-46E20AF5A9AA}"/>
    <cellStyle name="Comma 2 4 6 2 2" xfId="1055" xr:uid="{2134182B-2C1E-4905-BCF3-696D31880385}"/>
    <cellStyle name="Comma 2 4 6 3" xfId="383" xr:uid="{5421555E-3068-4F2C-B1D1-B0B4184F3B79}"/>
    <cellStyle name="Comma 2 4 6 4" xfId="831" xr:uid="{9092228F-6796-41AD-BB61-4A93FE7EBEF0}"/>
    <cellStyle name="Comma 2 4 7" xfId="495" xr:uid="{CF4E39F2-023D-48FA-858C-54B16E178FF5}"/>
    <cellStyle name="Comma 2 4 7 2" xfId="943" xr:uid="{D7B77A5A-C413-482A-8CD3-6EC87781E391}"/>
    <cellStyle name="Comma 2 4 8" xfId="271" xr:uid="{BBADF5C5-495A-41E3-A76A-E8020C0B1325}"/>
    <cellStyle name="Comma 2 4 9" xfId="719" xr:uid="{7E80B5D6-46AA-4629-9DEF-0D0DC76E2318}"/>
    <cellStyle name="Comma 2 5" xfId="90" xr:uid="{6A4EC600-89C8-462A-9B4F-05CB0AB0C269}"/>
    <cellStyle name="Comma 2 5 2" xfId="91" xr:uid="{67A4DA9D-FB8E-4932-A9A2-9F30CFF8DF46}"/>
    <cellStyle name="Comma 2 5 2 2" xfId="147" xr:uid="{7A9D193C-6B69-4D46-85CC-F3BB3D318762}"/>
    <cellStyle name="Comma 2 5 2 2 2" xfId="155" xr:uid="{BEA2156C-66DB-4373-9350-AE145B35D7F1}"/>
    <cellStyle name="Comma 2 5 2 2 2 2" xfId="267" xr:uid="{94FD89B6-6DFC-4108-A9BE-A314033841D5}"/>
    <cellStyle name="Comma 2 5 2 2 2 2 2" xfId="715" xr:uid="{8F3503CC-E95C-4B3E-8396-1B95F3645396}"/>
    <cellStyle name="Comma 2 5 2 2 2 2 2 2" xfId="1163" xr:uid="{A7584CC7-9E22-4EA6-9DB2-C45E8EAB25C0}"/>
    <cellStyle name="Comma 2 5 2 2 2 2 3" xfId="491" xr:uid="{632DE4EE-A927-4F7C-8DBB-6F8F3B149D7B}"/>
    <cellStyle name="Comma 2 5 2 2 2 2 4" xfId="939" xr:uid="{BB518328-A8E9-4A3C-81CC-D4206F646D48}"/>
    <cellStyle name="Comma 2 5 2 2 2 3" xfId="603" xr:uid="{B3842498-09C0-4D82-810F-A3B16F9A14BD}"/>
    <cellStyle name="Comma 2 5 2 2 2 3 2" xfId="1051" xr:uid="{672A0850-2138-46D2-95C3-C09204793DC9}"/>
    <cellStyle name="Comma 2 5 2 2 2 4" xfId="379" xr:uid="{BFE52F24-76C5-4130-BA38-996336EB7256}"/>
    <cellStyle name="Comma 2 5 2 2 2 5" xfId="827" xr:uid="{DA65611F-8F54-4A39-84E9-D8E81BA264DC}"/>
    <cellStyle name="Comma 2 5 2 2 3" xfId="259" xr:uid="{BCB286B1-4FA4-4ADF-893E-C79FD4BBDEF4}"/>
    <cellStyle name="Comma 2 5 2 2 3 2" xfId="707" xr:uid="{F24DA68A-CDB9-44BB-B462-F86C4CD57C15}"/>
    <cellStyle name="Comma 2 5 2 2 3 2 2" xfId="1155" xr:uid="{3EE2F5A3-28B9-40F4-BC7C-06DCC07B94B0}"/>
    <cellStyle name="Comma 2 5 2 2 3 3" xfId="483" xr:uid="{264EAF2F-79A8-4CDA-B506-B6B056F54B95}"/>
    <cellStyle name="Comma 2 5 2 2 3 4" xfId="931" xr:uid="{E4D14CEB-3A31-4816-A899-8F153A3A547F}"/>
    <cellStyle name="Comma 2 5 2 2 4" xfId="595" xr:uid="{6BB96AA2-0457-430C-95A8-EE3F00F6F7A7}"/>
    <cellStyle name="Comma 2 5 2 2 4 2" xfId="1043" xr:uid="{DABAB272-96D2-4362-99EA-6D1299B64694}"/>
    <cellStyle name="Comma 2 5 2 2 5" xfId="371" xr:uid="{E427F183-00EF-420E-A1FA-98C22957BAFD}"/>
    <cellStyle name="Comma 2 5 2 2 6" xfId="819" xr:uid="{0AE5C481-FA54-41E5-A609-8D9DD0F5CAB7}"/>
    <cellStyle name="Comma 2 5 2 3" xfId="151" xr:uid="{918DAE29-C802-43E1-A0F8-CCF0E71D01B7}"/>
    <cellStyle name="Comma 2 5 2 3 2" xfId="263" xr:uid="{6BD98EDF-ED97-47F1-BFE0-60CA2179EF94}"/>
    <cellStyle name="Comma 2 5 2 3 2 2" xfId="711" xr:uid="{C09C817E-B95D-48EF-85B8-0D550044B5B5}"/>
    <cellStyle name="Comma 2 5 2 3 2 2 2" xfId="1159" xr:uid="{94C1A24A-0482-449B-8B63-2D98A3810BB7}"/>
    <cellStyle name="Comma 2 5 2 3 2 3" xfId="487" xr:uid="{5D154B9C-EA67-4F3C-A9E5-D024493D31CC}"/>
    <cellStyle name="Comma 2 5 2 3 2 4" xfId="935" xr:uid="{CB31C6E6-37A1-48FE-BDAA-E808951C5CA3}"/>
    <cellStyle name="Comma 2 5 2 3 3" xfId="599" xr:uid="{7B201558-1E9D-4ADC-832A-96B5579DE33A}"/>
    <cellStyle name="Comma 2 5 2 3 3 2" xfId="1047" xr:uid="{12CA3C75-3B3A-4216-B9B8-E85A6E65EBC6}"/>
    <cellStyle name="Comma 2 5 2 3 4" xfId="375" xr:uid="{5B03775D-0379-4E7E-898E-1CD15890A1A8}"/>
    <cellStyle name="Comma 2 5 2 3 5" xfId="823" xr:uid="{793E635C-4B9C-423F-B1EA-47398041C41A}"/>
    <cellStyle name="Comma 2 5 2 4" xfId="204" xr:uid="{F05E1519-B3BB-4BD6-A138-86292A5C5E48}"/>
    <cellStyle name="Comma 2 5 2 4 2" xfId="652" xr:uid="{8AC2342C-7E69-44EB-A38F-E00B0D48F38A}"/>
    <cellStyle name="Comma 2 5 2 4 2 2" xfId="1100" xr:uid="{A5F4A6D6-56B4-49A6-81CB-18DB49FBBF67}"/>
    <cellStyle name="Comma 2 5 2 4 3" xfId="428" xr:uid="{71D24F12-0905-44AA-9E7F-0E22B7A9E230}"/>
    <cellStyle name="Comma 2 5 2 4 4" xfId="876" xr:uid="{361BB344-76F8-4883-BCBC-5B4B8B75A42D}"/>
    <cellStyle name="Comma 2 5 2 5" xfId="540" xr:uid="{02F05D01-8DF9-4BE0-9622-4456FEC8C2BC}"/>
    <cellStyle name="Comma 2 5 2 5 2" xfId="988" xr:uid="{51A3E82A-5D21-4675-808A-6F1125B64A02}"/>
    <cellStyle name="Comma 2 5 2 6" xfId="316" xr:uid="{0EAEEDE3-14F3-4238-9956-E505D02793D7}"/>
    <cellStyle name="Comma 2 5 2 7" xfId="764" xr:uid="{1C26EC51-9050-4EC5-BEBC-76703A2946BF}"/>
    <cellStyle name="Comma 2 5 3" xfId="145" xr:uid="{4391C8B8-0EF5-436C-BFA8-AFFAF1C2BDB0}"/>
    <cellStyle name="Comma 2 5 3 2" xfId="153" xr:uid="{E0A879C4-C989-4F43-B9D0-A45E53203D39}"/>
    <cellStyle name="Comma 2 5 3 2 2" xfId="265" xr:uid="{5DAFDD4A-CBDE-4450-A661-3D443634C90F}"/>
    <cellStyle name="Comma 2 5 3 2 2 2" xfId="713" xr:uid="{8FAB6E41-AB44-4FFB-B041-1D3477DFA7DA}"/>
    <cellStyle name="Comma 2 5 3 2 2 2 2" xfId="1161" xr:uid="{13732DF4-2142-417D-87C6-68686E5CC0D7}"/>
    <cellStyle name="Comma 2 5 3 2 2 3" xfId="489" xr:uid="{066DF9E7-0F51-46E1-B3A3-707438B46FFE}"/>
    <cellStyle name="Comma 2 5 3 2 2 4" xfId="937" xr:uid="{B67208E3-C5FE-4212-B3D6-136B43490A54}"/>
    <cellStyle name="Comma 2 5 3 2 3" xfId="601" xr:uid="{EE873191-4107-487A-81B4-53DE51A48919}"/>
    <cellStyle name="Comma 2 5 3 2 3 2" xfId="1049" xr:uid="{127405B5-6A0E-4FDA-969D-3E584990920C}"/>
    <cellStyle name="Comma 2 5 3 2 4" xfId="377" xr:uid="{EF14DF17-C2DF-4061-8D3B-69913B616F27}"/>
    <cellStyle name="Comma 2 5 3 2 5" xfId="825" xr:uid="{A912FA05-9773-4210-849F-46AF03D81F7B}"/>
    <cellStyle name="Comma 2 5 3 3" xfId="257" xr:uid="{410FA4D4-2F68-40C8-80DD-D9AB3B20F780}"/>
    <cellStyle name="Comma 2 5 3 3 2" xfId="705" xr:uid="{9E46F8F2-2FB3-4B64-B8EF-BBBDECFA161F}"/>
    <cellStyle name="Comma 2 5 3 3 2 2" xfId="1153" xr:uid="{93CA7B3B-4DCE-4C63-BD78-B0B22C015CD4}"/>
    <cellStyle name="Comma 2 5 3 3 3" xfId="481" xr:uid="{2A2C0601-7D25-4A88-8BC1-885B60DEE0CE}"/>
    <cellStyle name="Comma 2 5 3 3 4" xfId="929" xr:uid="{C9D82E1E-126B-4668-BB6B-318938FFC34D}"/>
    <cellStyle name="Comma 2 5 3 4" xfId="593" xr:uid="{D7B93762-D8FC-4458-8C65-B1E9E994E01E}"/>
    <cellStyle name="Comma 2 5 3 4 2" xfId="1041" xr:uid="{75E70E4D-994C-42C8-B322-D3064DEF5785}"/>
    <cellStyle name="Comma 2 5 3 5" xfId="369" xr:uid="{E5228072-46B1-4864-841A-5AC6F91DCFE8}"/>
    <cellStyle name="Comma 2 5 3 6" xfId="817" xr:uid="{A699F45D-D881-4C6B-8811-1D9C0561064E}"/>
    <cellStyle name="Comma 2 5 4" xfId="149" xr:uid="{5543CE95-8158-4AF6-93BC-CC2C4FDFC7D3}"/>
    <cellStyle name="Comma 2 5 4 2" xfId="261" xr:uid="{E6EEFE0F-B0B2-4E90-AF7A-81420CFBE00C}"/>
    <cellStyle name="Comma 2 5 4 2 2" xfId="709" xr:uid="{382F683E-B108-43CC-830A-823CD5A7554C}"/>
    <cellStyle name="Comma 2 5 4 2 2 2" xfId="1157" xr:uid="{8BF2FB8A-1642-4892-B9D9-6D4C23D5ECF2}"/>
    <cellStyle name="Comma 2 5 4 2 3" xfId="485" xr:uid="{E2E90A4F-087A-4FA1-9DDB-4F6F7027A42D}"/>
    <cellStyle name="Comma 2 5 4 2 4" xfId="933" xr:uid="{1ED28A39-8FC1-4F26-A6F0-6D2E5A7AF7D6}"/>
    <cellStyle name="Comma 2 5 4 3" xfId="597" xr:uid="{1C9A6E52-8CE4-4A99-B590-FF1C95F9757D}"/>
    <cellStyle name="Comma 2 5 4 3 2" xfId="1045" xr:uid="{EB62B2E0-3D44-4FB5-A36B-792F8CF987EF}"/>
    <cellStyle name="Comma 2 5 4 4" xfId="373" xr:uid="{A83BE3DF-A228-4371-A0B7-F1B5387A226B}"/>
    <cellStyle name="Comma 2 5 4 5" xfId="821" xr:uid="{1347442C-0043-48BF-8B21-4155C84E0B86}"/>
    <cellStyle name="Comma 2 5 5" xfId="203" xr:uid="{73D30BE0-7895-464C-B879-B4D05885E1B9}"/>
    <cellStyle name="Comma 2 5 5 2" xfId="651" xr:uid="{E3753915-F069-43B7-82C0-C6C459F939CD}"/>
    <cellStyle name="Comma 2 5 5 2 2" xfId="1099" xr:uid="{9F37EBBB-1539-45DC-9E8E-F14962332217}"/>
    <cellStyle name="Comma 2 5 5 3" xfId="427" xr:uid="{1FC03034-7263-4904-9CBE-41ED0C0FD7B0}"/>
    <cellStyle name="Comma 2 5 5 4" xfId="875" xr:uid="{0908C7BE-9F9C-4F1D-8F11-107E329DE607}"/>
    <cellStyle name="Comma 2 5 6" xfId="539" xr:uid="{C5D307FE-0C75-491E-8D77-AE3C88BBBF31}"/>
    <cellStyle name="Comma 2 5 6 2" xfId="987" xr:uid="{E2464A59-72F0-427C-83D2-8A2EC8CE6B6A}"/>
    <cellStyle name="Comma 2 5 7" xfId="315" xr:uid="{A27E1CA2-BC94-4195-9E19-AF339B192916}"/>
    <cellStyle name="Comma 2 5 8" xfId="763" xr:uid="{B89490EE-3A58-4CA7-9C85-38BB7F44CAEC}"/>
    <cellStyle name="Comma 2 6" xfId="94" xr:uid="{9E18ABD9-E303-44FA-B769-AE41D2121E99}"/>
    <cellStyle name="Comma 2 6 2" xfId="146" xr:uid="{6DC1EEBE-D856-4656-80BF-D21369FA64A9}"/>
    <cellStyle name="Comma 2 6 2 2" xfId="154" xr:uid="{5B432221-A8BA-4B45-AE2F-3E53FBBB72CB}"/>
    <cellStyle name="Comma 2 6 2 2 2" xfId="266" xr:uid="{681DF15A-A7D5-4897-B2DD-CB31E6E586A4}"/>
    <cellStyle name="Comma 2 6 2 2 2 2" xfId="714" xr:uid="{27CA1EF6-F756-4BFD-8F6D-4156B188CCEF}"/>
    <cellStyle name="Comma 2 6 2 2 2 2 2" xfId="1162" xr:uid="{C6BDE500-CEBD-43C7-B7F2-5F6887641C2E}"/>
    <cellStyle name="Comma 2 6 2 2 2 3" xfId="490" xr:uid="{EC0B58E1-6667-475A-9711-4D870716777E}"/>
    <cellStyle name="Comma 2 6 2 2 2 4" xfId="938" xr:uid="{524154A4-998B-4A00-8033-36753320883C}"/>
    <cellStyle name="Comma 2 6 2 2 3" xfId="602" xr:uid="{D3EED8CB-3E72-4998-B703-F1ECCC7FC6D0}"/>
    <cellStyle name="Comma 2 6 2 2 3 2" xfId="1050" xr:uid="{514D17EB-DA26-4516-BB9C-A7C18475D75A}"/>
    <cellStyle name="Comma 2 6 2 2 4" xfId="378" xr:uid="{115FB245-1CC9-41D5-9200-E4875422CE02}"/>
    <cellStyle name="Comma 2 6 2 2 5" xfId="826" xr:uid="{4368B9DC-589C-4F42-B244-77F3F0F2C6F6}"/>
    <cellStyle name="Comma 2 6 2 3" xfId="258" xr:uid="{303963D7-D948-4F4D-8364-478B32D8C1A7}"/>
    <cellStyle name="Comma 2 6 2 3 2" xfId="706" xr:uid="{370F4182-8767-40CB-AC30-4A33C7871152}"/>
    <cellStyle name="Comma 2 6 2 3 2 2" xfId="1154" xr:uid="{B6D72C00-8AB5-4D91-80D0-B44895373631}"/>
    <cellStyle name="Comma 2 6 2 3 3" xfId="482" xr:uid="{AD748A9E-6F33-4186-8200-DA938FF7817C}"/>
    <cellStyle name="Comma 2 6 2 3 4" xfId="930" xr:uid="{B6A3F162-88AA-4FFA-B110-7F12D7AB04E6}"/>
    <cellStyle name="Comma 2 6 2 4" xfId="594" xr:uid="{87520D57-C808-4254-85A9-D05ADEF71DCE}"/>
    <cellStyle name="Comma 2 6 2 4 2" xfId="1042" xr:uid="{01795B96-ED2A-4DFF-8497-14F06DF52D19}"/>
    <cellStyle name="Comma 2 6 2 5" xfId="370" xr:uid="{D64B01F6-4CE6-4585-A7C5-985260119E66}"/>
    <cellStyle name="Comma 2 6 2 6" xfId="818" xr:uid="{3FE66905-49E3-41D1-8DF4-E23E501FC172}"/>
    <cellStyle name="Comma 2 6 3" xfId="150" xr:uid="{64C83421-35FB-485E-AD48-CEE3DD617062}"/>
    <cellStyle name="Comma 2 6 3 2" xfId="262" xr:uid="{4C30782B-73A0-447D-B250-2DE83350E6BE}"/>
    <cellStyle name="Comma 2 6 3 2 2" xfId="710" xr:uid="{C78AB000-1E6A-4914-A91A-5D4DA5B0111E}"/>
    <cellStyle name="Comma 2 6 3 2 2 2" xfId="1158" xr:uid="{43112177-5DFE-4B4D-BA21-3FDCC0AD8CC3}"/>
    <cellStyle name="Comma 2 6 3 2 3" xfId="486" xr:uid="{F5D9E76D-8E9D-4725-A6FC-E29D5634E2CD}"/>
    <cellStyle name="Comma 2 6 3 2 4" xfId="934" xr:uid="{A1EBED3D-1728-46BB-A166-6BE6158F3B09}"/>
    <cellStyle name="Comma 2 6 3 3" xfId="598" xr:uid="{825637E0-CBA9-4857-8F08-F94690D5B4B7}"/>
    <cellStyle name="Comma 2 6 3 3 2" xfId="1046" xr:uid="{08D99616-A223-4DF9-AC43-89AA9607D8BC}"/>
    <cellStyle name="Comma 2 6 3 4" xfId="374" xr:uid="{1EEB14A8-B64F-4A1C-BBCE-8521AE778F6D}"/>
    <cellStyle name="Comma 2 6 3 5" xfId="822" xr:uid="{75A9907F-1088-4DC4-917F-29387FABFE1F}"/>
    <cellStyle name="Comma 2 6 4" xfId="207" xr:uid="{B6EFFD19-BB50-441D-A97C-B8DA848A72FF}"/>
    <cellStyle name="Comma 2 6 4 2" xfId="655" xr:uid="{CC0D182C-8C8B-40BD-BCE9-7E7330CC6EFB}"/>
    <cellStyle name="Comma 2 6 4 2 2" xfId="1103" xr:uid="{C5397AFC-FD58-41CE-A1CB-6AC131A01165}"/>
    <cellStyle name="Comma 2 6 4 3" xfId="431" xr:uid="{8B469444-BD89-43A1-BF4A-AE587BD35088}"/>
    <cellStyle name="Comma 2 6 4 4" xfId="879" xr:uid="{8005C4E8-7F47-47BB-B5D9-B41F5C0DC0A9}"/>
    <cellStyle name="Comma 2 6 5" xfId="543" xr:uid="{15622AE7-5F56-4E36-926A-A85BA9078DD2}"/>
    <cellStyle name="Comma 2 6 5 2" xfId="991" xr:uid="{D3D9A818-57F1-4FAB-B540-7C61FF56E9D0}"/>
    <cellStyle name="Comma 2 6 6" xfId="319" xr:uid="{47E36ADD-C1B7-4C3F-AF5D-CDEF9DB417A2}"/>
    <cellStyle name="Comma 2 6 7" xfId="767" xr:uid="{6E0D6E51-5D22-43B0-890E-B65E6536E0DF}"/>
    <cellStyle name="Comma 2 7" xfId="92" xr:uid="{A40CCD9B-BC9D-4976-8FBD-755552454756}"/>
    <cellStyle name="Comma 2 7 2" xfId="152" xr:uid="{AEA31CAA-85B0-4737-B63D-FD71A809BAB0}"/>
    <cellStyle name="Comma 2 7 2 2" xfId="264" xr:uid="{446221F8-2C6F-4AD3-BF34-EEACC6928DDA}"/>
    <cellStyle name="Comma 2 7 2 2 2" xfId="712" xr:uid="{80A6FF0A-0071-459A-8D2A-5C64FD141224}"/>
    <cellStyle name="Comma 2 7 2 2 2 2" xfId="1160" xr:uid="{3B261962-E343-4D40-9075-8310BB96E042}"/>
    <cellStyle name="Comma 2 7 2 2 3" xfId="488" xr:uid="{A1E85247-2E60-4E56-A726-F5EEDD204892}"/>
    <cellStyle name="Comma 2 7 2 2 4" xfId="936" xr:uid="{B6F99BCE-3F53-450A-A155-8D34BDCE9355}"/>
    <cellStyle name="Comma 2 7 2 3" xfId="600" xr:uid="{5C9745B1-9E1B-4417-9730-8334E6E37DA6}"/>
    <cellStyle name="Comma 2 7 2 3 2" xfId="1048" xr:uid="{7425E964-F3F6-4511-A4EC-A954F1D17EE6}"/>
    <cellStyle name="Comma 2 7 2 4" xfId="376" xr:uid="{243C001C-607F-4439-BC54-359F40650571}"/>
    <cellStyle name="Comma 2 7 2 5" xfId="824" xr:uid="{98C13229-5BCD-4BA2-AE73-6322AB9962E6}"/>
    <cellStyle name="Comma 2 7 3" xfId="205" xr:uid="{F53C7CEA-D682-4CAB-862B-0109F6A5B4F1}"/>
    <cellStyle name="Comma 2 7 3 2" xfId="653" xr:uid="{5F7C98C9-C59B-4080-9F3E-26E034FDF58D}"/>
    <cellStyle name="Comma 2 7 3 2 2" xfId="1101" xr:uid="{C41C6D5C-F0C6-4FE4-B145-C8E71DF8888D}"/>
    <cellStyle name="Comma 2 7 3 3" xfId="429" xr:uid="{10F1B5A0-DDAC-4641-A192-1E1B0DB61F5D}"/>
    <cellStyle name="Comma 2 7 3 4" xfId="877" xr:uid="{4827989B-E0E0-490D-8AAD-BB900E7A5A94}"/>
    <cellStyle name="Comma 2 7 4" xfId="541" xr:uid="{792D0E0A-7EB3-4859-BE12-F92CBE81F316}"/>
    <cellStyle name="Comma 2 7 4 2" xfId="989" xr:uid="{EDB4C136-E339-402F-96E2-337F06A32BCC}"/>
    <cellStyle name="Comma 2 7 5" xfId="317" xr:uid="{EA92B63B-6631-49D7-94BE-69A1081CE7F0}"/>
    <cellStyle name="Comma 2 7 6" xfId="765" xr:uid="{6CCF53CA-5E0D-4B25-A260-B3212A993D00}"/>
    <cellStyle name="Comma 2 8" xfId="148" xr:uid="{65332C22-7C0D-4B8E-A506-84DCDE454F29}"/>
    <cellStyle name="Comma 2 8 2" xfId="260" xr:uid="{52ADDC7F-8264-4FD2-9B39-7E3F026AA14A}"/>
    <cellStyle name="Comma 2 8 2 2" xfId="708" xr:uid="{8868D9B1-B656-4123-A7E1-999E0C75C814}"/>
    <cellStyle name="Comma 2 8 2 2 2" xfId="1156" xr:uid="{B5D5406E-5C0E-42F8-91BD-92FCDF79810A}"/>
    <cellStyle name="Comma 2 8 2 3" xfId="484" xr:uid="{92381FC1-5D6E-450F-B68C-C762D7DBD031}"/>
    <cellStyle name="Comma 2 8 2 4" xfId="932" xr:uid="{5659A7B2-1B10-432C-AE40-F5DFF1D4899A}"/>
    <cellStyle name="Comma 2 8 3" xfId="596" xr:uid="{37BB2BF7-81B5-4CDA-8F15-8078F869A3E5}"/>
    <cellStyle name="Comma 2 8 3 2" xfId="1044" xr:uid="{2E0F05A1-F0BF-4E51-98A9-A66D41AF52B6}"/>
    <cellStyle name="Comma 2 8 4" xfId="372" xr:uid="{6787F61E-A9FA-4DF0-B39B-0F16D699F2B2}"/>
    <cellStyle name="Comma 2 8 5" xfId="820" xr:uid="{68BF6ABA-7FED-405A-8EE4-0196BC312366}"/>
    <cellStyle name="Comma 2 9" xfId="232" xr:uid="{65914F17-1749-418B-AEDF-66E22AE1EB0C}"/>
    <cellStyle name="Comma 2 9 2" xfId="680" xr:uid="{0865B36C-4FBB-4D1F-99CF-581E052C4D37}"/>
    <cellStyle name="Comma 2 9 2 2" xfId="1128" xr:uid="{2C9893DA-1675-4D66-A81A-43F2084C954C}"/>
    <cellStyle name="Comma 2 9 3" xfId="456" xr:uid="{50BDC136-549F-4FB9-B930-4448C9CBA147}"/>
    <cellStyle name="Comma 2 9 4" xfId="904" xr:uid="{33ADC99F-0FC9-4288-9975-517319AF5199}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1" builtinId="28" customBuiltin="1"/>
    <cellStyle name="Normal" xfId="0" builtinId="0"/>
    <cellStyle name="Normal 2" xfId="119" xr:uid="{00D3C915-03D0-41FD-99F8-C38DD5E2D2E0}"/>
    <cellStyle name="Note" xfId="15" builtinId="10" customBuiltin="1"/>
    <cellStyle name="Output" xfId="10" builtinId="21" customBuiltin="1"/>
    <cellStyle name="Title" xfId="2" builtinId="15" customBuiltin="1"/>
    <cellStyle name="Total" xfId="17" builtinId="25" customBuiltin="1"/>
    <cellStyle name="Warning Text" xfId="14" builtinId="11" customBuiltin="1"/>
  </cellStyles>
  <dxfs count="65">
    <dxf>
      <font>
        <b val="0"/>
        <i val="0"/>
      </font>
    </dxf>
    <dxf>
      <font>
        <b/>
        <i val="0"/>
        <color rgb="FF00AC2D"/>
      </font>
    </dxf>
    <dxf>
      <font>
        <b/>
        <i val="0"/>
        <color rgb="FFC00000"/>
      </font>
    </dxf>
    <dxf>
      <font>
        <b val="0"/>
        <i/>
        <color theme="0" tint="-0.24994659260841701"/>
      </font>
    </dxf>
    <dxf>
      <font>
        <b val="0"/>
        <i val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b val="0"/>
        <i val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b val="0"/>
        <i/>
        <color theme="0" tint="-0.24994659260841701"/>
      </font>
    </dxf>
    <dxf>
      <font>
        <b/>
        <i val="0"/>
        <color rgb="FF00AC2D"/>
      </font>
    </dxf>
    <dxf>
      <font>
        <b val="0"/>
        <i val="0"/>
      </font>
    </dxf>
    <dxf>
      <font>
        <b/>
        <i val="0"/>
        <color rgb="FFC00000"/>
      </font>
    </dxf>
    <dxf>
      <font>
        <b val="0"/>
        <i val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b val="0"/>
        <i/>
        <color theme="0" tint="-0.24994659260841701"/>
      </font>
    </dxf>
    <dxf>
      <font>
        <b/>
        <i val="0"/>
        <color rgb="FFC00000"/>
      </font>
    </dxf>
    <dxf>
      <font>
        <b/>
        <i val="0"/>
        <color rgb="FF00AC2D"/>
      </font>
    </dxf>
    <dxf>
      <font>
        <b val="0"/>
        <i val="0"/>
      </font>
    </dxf>
    <dxf>
      <font>
        <b val="0"/>
        <i val="0"/>
      </font>
    </dxf>
    <dxf>
      <font>
        <b/>
        <i val="0"/>
        <color rgb="FF00AC2D"/>
      </font>
    </dxf>
    <dxf>
      <font>
        <b val="0"/>
        <i/>
        <color theme="0" tint="-0.24994659260841701"/>
      </font>
    </dxf>
    <dxf>
      <font>
        <b val="0"/>
        <i val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b/>
        <i val="0"/>
        <color rgb="FFC00000"/>
      </font>
    </dxf>
    <dxf>
      <font>
        <b val="0"/>
        <i val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b val="0"/>
        <i/>
        <color theme="0" tint="-0.24994659260841701"/>
      </font>
    </dxf>
    <dxf>
      <font>
        <b/>
        <i val="0"/>
        <color rgb="FFC00000"/>
      </font>
    </dxf>
    <dxf>
      <font>
        <b/>
        <i val="0"/>
        <color rgb="FF00AC2D"/>
      </font>
    </dxf>
    <dxf>
      <font>
        <b val="0"/>
        <i val="0"/>
      </font>
    </dxf>
    <dxf>
      <font>
        <b val="0"/>
        <i val="0"/>
      </font>
    </dxf>
    <dxf>
      <font>
        <b/>
        <i val="0"/>
        <color rgb="FF00AC2D"/>
      </font>
    </dxf>
    <dxf>
      <font>
        <b/>
        <i val="0"/>
        <color rgb="FFC00000"/>
      </font>
    </dxf>
    <dxf>
      <font>
        <b val="0"/>
        <i/>
        <color theme="0" tint="-0.24994659260841701"/>
      </font>
    </dxf>
    <dxf>
      <font>
        <b val="0"/>
        <i val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b/>
        <i val="0"/>
        <color rgb="FF00AC2D"/>
      </font>
    </dxf>
    <dxf>
      <font>
        <b/>
        <i val="0"/>
        <color rgb="FFC00000"/>
      </font>
    </dxf>
    <dxf>
      <font>
        <b val="0"/>
        <i/>
        <color theme="0" tint="-0.24994659260841701"/>
      </font>
    </dxf>
    <dxf>
      <font>
        <b val="0"/>
        <i val="0"/>
      </font>
    </dxf>
    <dxf>
      <font>
        <b val="0"/>
        <i val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b val="0"/>
        <i val="0"/>
      </font>
    </dxf>
    <dxf>
      <font>
        <b/>
        <i val="0"/>
        <color rgb="FF00AC2D"/>
      </font>
    </dxf>
    <dxf>
      <font>
        <b/>
        <i val="0"/>
        <color rgb="FFC00000"/>
      </font>
    </dxf>
    <dxf>
      <font>
        <b val="0"/>
        <i/>
        <color theme="0" tint="-0.24994659260841701"/>
      </font>
    </dxf>
    <dxf>
      <font>
        <b val="0"/>
        <i val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b/>
        <i val="0"/>
        <color rgb="FFC00000"/>
      </font>
    </dxf>
    <dxf>
      <font>
        <b val="0"/>
        <i val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b val="0"/>
        <i/>
        <color theme="0" tint="-0.24994659260841701"/>
      </font>
    </dxf>
    <dxf>
      <font>
        <b/>
        <i val="0"/>
        <color rgb="FF00AC2D"/>
      </font>
    </dxf>
    <dxf>
      <font>
        <b val="0"/>
        <i val="0"/>
      </font>
    </dxf>
    <dxf>
      <font>
        <b/>
        <i val="0"/>
        <color rgb="FF00AC2D"/>
      </font>
    </dxf>
    <dxf>
      <font>
        <b/>
        <i val="0"/>
        <color rgb="FFC00000"/>
      </font>
    </dxf>
    <dxf>
      <font>
        <b val="0"/>
        <i/>
        <color theme="0" tint="-0.24994659260841701"/>
      </font>
    </dxf>
    <dxf>
      <font>
        <b val="0"/>
        <i val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b val="0"/>
        <i val="0"/>
      </font>
    </dxf>
    <dxf>
      <font>
        <b/>
        <i val="0"/>
        <color rgb="FFC00000"/>
      </font>
    </dxf>
    <dxf>
      <font>
        <b/>
        <i val="0"/>
        <color rgb="FF00AC2D"/>
      </font>
    </dxf>
    <dxf>
      <font>
        <b val="0"/>
        <i val="0"/>
      </font>
    </dxf>
    <dxf>
      <font>
        <b val="0"/>
        <i val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b val="0"/>
        <i/>
        <color theme="0" tint="-0.24994659260841701"/>
      </font>
    </dxf>
    <dxf>
      <font>
        <b val="0"/>
        <i/>
        <color theme="0" tint="-0.24994659260841701"/>
      </font>
    </dxf>
    <dxf>
      <font>
        <b/>
        <i val="0"/>
        <color rgb="FFC00000"/>
      </font>
    </dxf>
    <dxf>
      <font>
        <b/>
        <i val="0"/>
        <color rgb="FF00AC2D"/>
      </font>
    </dxf>
    <dxf>
      <font>
        <b val="0"/>
        <i val="0"/>
      </font>
    </dxf>
    <dxf>
      <font>
        <b val="0"/>
        <i val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b val="0"/>
        <i val="0"/>
      </font>
    </dxf>
    <dxf>
      <font>
        <b/>
        <i val="0"/>
        <color rgb="FF00AC2D"/>
      </font>
    </dxf>
    <dxf>
      <font>
        <b/>
        <i val="0"/>
        <color rgb="FFC00000"/>
      </font>
    </dxf>
    <dxf>
      <font>
        <b val="0"/>
        <i/>
        <color theme="0" tint="-0.24994659260841701"/>
      </font>
    </dxf>
    <dxf>
      <font>
        <b val="0"/>
        <i val="0"/>
      </font>
      <fill>
        <patternFill patternType="none">
          <bgColor auto="1"/>
        </patternFill>
      </fill>
      <border>
        <left/>
        <right/>
        <top/>
        <bottom/>
      </border>
    </dxf>
  </dxfs>
  <tableStyles count="1" defaultTableStyle="TableStyleMedium2" defaultPivotStyle="PivotStyleLight16">
    <tableStyle name="Table Style 1" pivot="0" count="0" xr9:uid="{C975F79E-394A-4594-91AD-055FC18AE5C0}"/>
  </tableStyles>
  <colors>
    <mruColors>
      <color rgb="FF233616"/>
      <color rgb="FF385723"/>
      <color rgb="FFC5E0B4"/>
      <color rgb="FF305496"/>
      <color rgb="FF217EA7"/>
      <color rgb="FFFFFF00"/>
      <color rgb="FFD9E1F2"/>
      <color rgb="FFFFFFFF"/>
      <color rgb="FFFAC462"/>
      <color rgb="FFF8A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Convergence of algorithm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r_i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50" b="1" i="0" u="none" strike="noStrike" kern="1200" baseline="0">
                        <a:solidFill>
                          <a:schemeClr val="tx1"/>
                        </a:solidFill>
                        <a:effectLst>
                          <a:glow rad="63500">
                            <a:schemeClr val="bg1">
                              <a:alpha val="75000"/>
                            </a:schemeClr>
                          </a:glow>
                        </a:effectLst>
                        <a:latin typeface="+mn-lt"/>
                        <a:ea typeface="+mn-ea"/>
                        <a:cs typeface="+mn-cs"/>
                      </a:defRPr>
                    </a:pPr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chemeClr val="tx1"/>
                      </a:solidFill>
                      <a:effectLst>
                        <a:glow rad="63500">
                          <a:schemeClr val="bg1">
                            <a:alpha val="75000"/>
                          </a:schemeClr>
                        </a:glow>
                      </a:effectLst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0-1393-4DD2-A002-57BD1DEA362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1393-4DD2-A002-57BD1DEA362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1393-4DD2-A002-57BD1DEA362E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1393-4DD2-A002-57BD1DEA362E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1393-4DD2-A002-57BD1DEA362E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1393-4DD2-A002-57BD1DEA362E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1393-4DD2-A002-57BD1DEA362E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1393-4DD2-A002-57BD1DEA362E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1393-4DD2-A002-57BD1DEA362E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1393-4DD2-A002-57BD1DEA362E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1393-4DD2-A002-57BD1DEA362E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1393-4DD2-A002-57BD1DEA362E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1393-4DD2-A002-57BD1DEA362E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1393-4DD2-A002-57BD1DEA362E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1393-4DD2-A002-57BD1DEA362E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1393-4DD2-A002-57BD1DEA362E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1393-4DD2-A002-57BD1DEA362E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1393-4DD2-A002-57BD1DEA362E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1393-4DD2-A002-57BD1DEA362E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en-GB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1393-4DD2-A002-57BD1DEA362E}"/>
                </c:ext>
              </c:extLst>
            </c:dLbl>
            <c:dLbl>
              <c:idx val="2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50" b="1" i="0" u="none" strike="noStrike" kern="1200" baseline="0">
                        <a:solidFill>
                          <a:schemeClr val="tx1"/>
                        </a:solidFill>
                        <a:effectLst>
                          <a:glow rad="63500">
                            <a:schemeClr val="bg1">
                              <a:alpha val="75000"/>
                            </a:schemeClr>
                          </a:glow>
                        </a:effectLst>
                        <a:latin typeface="+mn-lt"/>
                        <a:ea typeface="+mn-ea"/>
                        <a:cs typeface="+mn-cs"/>
                      </a:defRPr>
                    </a:pPr>
                    <a:endParaRPr lang="en-GB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chemeClr val="tx1"/>
                      </a:solidFill>
                      <a:effectLst>
                        <a:glow rad="63500">
                          <a:schemeClr val="bg1">
                            <a:alpha val="75000"/>
                          </a:schemeClr>
                        </a:glow>
                      </a:effectLst>
                      <a:latin typeface="+mn-lt"/>
                      <a:ea typeface="+mn-ea"/>
                      <a:cs typeface="+mn-cs"/>
                    </a:defRPr>
                  </a:pPr>
                  <a:endParaRPr lang="en-GB"/>
                </a:p>
              </c:tx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1393-4DD2-A002-57BD1DEA362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>
                        <a:lumMod val="50000"/>
                      </a:schemeClr>
                    </a:solidFill>
                    <a:effectLst>
                      <a:glow rad="63500">
                        <a:schemeClr val="bg1">
                          <a:alpha val="75000"/>
                        </a:schemeClr>
                      </a:glo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Dev!$B$7:$B$27</c:f>
              <c:strCache>
                <c:ptCount val="21"/>
                <c:pt idx="0">
                  <c:v>r0</c:v>
                </c:pt>
                <c:pt idx="1">
                  <c:v>r1</c:v>
                </c:pt>
                <c:pt idx="2">
                  <c:v>r2</c:v>
                </c:pt>
                <c:pt idx="3">
                  <c:v>r3</c:v>
                </c:pt>
                <c:pt idx="4">
                  <c:v>r4</c:v>
                </c:pt>
                <c:pt idx="5">
                  <c:v>r5</c:v>
                </c:pt>
                <c:pt idx="6">
                  <c:v>r6</c:v>
                </c:pt>
                <c:pt idx="7">
                  <c:v>r7</c:v>
                </c:pt>
                <c:pt idx="8">
                  <c:v>r8</c:v>
                </c:pt>
                <c:pt idx="9">
                  <c:v>r9</c:v>
                </c:pt>
                <c:pt idx="10">
                  <c:v>r10</c:v>
                </c:pt>
                <c:pt idx="11">
                  <c:v>r11</c:v>
                </c:pt>
                <c:pt idx="12">
                  <c:v>r12</c:v>
                </c:pt>
                <c:pt idx="13">
                  <c:v>r13</c:v>
                </c:pt>
                <c:pt idx="14">
                  <c:v>r14</c:v>
                </c:pt>
                <c:pt idx="15">
                  <c:v>r15</c:v>
                </c:pt>
                <c:pt idx="16">
                  <c:v>r16</c:v>
                </c:pt>
                <c:pt idx="17">
                  <c:v>r17</c:v>
                </c:pt>
                <c:pt idx="18">
                  <c:v>r18</c:v>
                </c:pt>
                <c:pt idx="19">
                  <c:v>r19</c:v>
                </c:pt>
                <c:pt idx="20">
                  <c:v>r20</c:v>
                </c:pt>
              </c:strCache>
            </c:strRef>
          </c:cat>
          <c:val>
            <c:numRef>
              <c:f>Algorithm!$D$21:$D$41</c:f>
              <c:numCache>
                <c:formatCode>General</c:formatCode>
                <c:ptCount val="21"/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Dev!$I$7:$I$27</c15:f>
                <c15:dlblRangeCache>
                  <c:ptCount val="21"/>
                </c15:dlblRangeCache>
              </c15:datalabelsRange>
            </c:ext>
            <c:ext xmlns:c16="http://schemas.microsoft.com/office/drawing/2014/chart" uri="{C3380CC4-5D6E-409C-BE32-E72D297353CC}">
              <c16:uniqueId val="{00000015-1393-4DD2-A002-57BD1DEA362E}"/>
            </c:ext>
          </c:extLst>
        </c:ser>
        <c:ser>
          <c:idx val="1"/>
          <c:order val="1"/>
          <c:tx>
            <c:v>y range</c:v>
          </c:tx>
          <c:spPr>
            <a:ln w="19050" cap="rnd">
              <a:noFill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Dev!$B$7:$B$27</c:f>
              <c:strCache>
                <c:ptCount val="21"/>
                <c:pt idx="0">
                  <c:v>r0</c:v>
                </c:pt>
                <c:pt idx="1">
                  <c:v>r1</c:v>
                </c:pt>
                <c:pt idx="2">
                  <c:v>r2</c:v>
                </c:pt>
                <c:pt idx="3">
                  <c:v>r3</c:v>
                </c:pt>
                <c:pt idx="4">
                  <c:v>r4</c:v>
                </c:pt>
                <c:pt idx="5">
                  <c:v>r5</c:v>
                </c:pt>
                <c:pt idx="6">
                  <c:v>r6</c:v>
                </c:pt>
                <c:pt idx="7">
                  <c:v>r7</c:v>
                </c:pt>
                <c:pt idx="8">
                  <c:v>r8</c:v>
                </c:pt>
                <c:pt idx="9">
                  <c:v>r9</c:v>
                </c:pt>
                <c:pt idx="10">
                  <c:v>r10</c:v>
                </c:pt>
                <c:pt idx="11">
                  <c:v>r11</c:v>
                </c:pt>
                <c:pt idx="12">
                  <c:v>r12</c:v>
                </c:pt>
                <c:pt idx="13">
                  <c:v>r13</c:v>
                </c:pt>
                <c:pt idx="14">
                  <c:v>r14</c:v>
                </c:pt>
                <c:pt idx="15">
                  <c:v>r15</c:v>
                </c:pt>
                <c:pt idx="16">
                  <c:v>r16</c:v>
                </c:pt>
                <c:pt idx="17">
                  <c:v>r17</c:v>
                </c:pt>
                <c:pt idx="18">
                  <c:v>r18</c:v>
                </c:pt>
                <c:pt idx="19">
                  <c:v>r19</c:v>
                </c:pt>
                <c:pt idx="20">
                  <c:v>r20</c:v>
                </c:pt>
              </c:strCache>
            </c:strRef>
          </c:cat>
          <c:val>
            <c:numRef>
              <c:f>Dev!$G$2:$G$3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1393-4DD2-A002-57BD1DEA362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41268280"/>
        <c:axId val="741265984"/>
      </c:lineChart>
      <c:catAx>
        <c:axId val="7412682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265984"/>
        <c:crosses val="autoZero"/>
        <c:auto val="1"/>
        <c:lblAlgn val="ctr"/>
        <c:lblOffset val="100"/>
        <c:tickMarkSkip val="1"/>
        <c:noMultiLvlLbl val="0"/>
      </c:catAx>
      <c:valAx>
        <c:axId val="7412659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268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</xdr:col>
      <xdr:colOff>589236</xdr:colOff>
      <xdr:row>4</xdr:row>
      <xdr:rowOff>104447</xdr:rowOff>
    </xdr:to>
    <xdr:pic>
      <xdr:nvPicPr>
        <xdr:cNvPr id="2" name="Picture 29">
          <a:extLst>
            <a:ext uri="{FF2B5EF4-FFF2-40B4-BE49-F238E27FC236}">
              <a16:creationId xmlns:a16="http://schemas.microsoft.com/office/drawing/2014/main" id="{D0A0D1BB-48C0-4947-80F0-B779B8E08FD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8621" t="-13750" r="-1"/>
        <a:stretch/>
      </xdr:blipFill>
      <xdr:spPr bwMode="auto">
        <a:xfrm>
          <a:off x="0" y="0"/>
          <a:ext cx="120015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36030</xdr:colOff>
      <xdr:row>14</xdr:row>
      <xdr:rowOff>0</xdr:rowOff>
    </xdr:from>
    <xdr:to>
      <xdr:col>10</xdr:col>
      <xdr:colOff>531330</xdr:colOff>
      <xdr:row>15</xdr:row>
      <xdr:rowOff>167843</xdr:rowOff>
    </xdr:to>
    <xdr:sp macro="" textlink="">
      <xdr:nvSpPr>
        <xdr:cNvPr id="3" name="Speech Bubble: Rectangle 2">
          <a:extLst>
            <a:ext uri="{FF2B5EF4-FFF2-40B4-BE49-F238E27FC236}">
              <a16:creationId xmlns:a16="http://schemas.microsoft.com/office/drawing/2014/main" id="{362F0626-E3ED-4BA8-89F8-E17335288F48}"/>
            </a:ext>
          </a:extLst>
        </xdr:cNvPr>
        <xdr:cNvSpPr/>
      </xdr:nvSpPr>
      <xdr:spPr>
        <a:xfrm>
          <a:off x="6753226" y="2956891"/>
          <a:ext cx="2334039" cy="358343"/>
        </a:xfrm>
        <a:prstGeom prst="wedgeRectCallout">
          <a:avLst>
            <a:gd name="adj1" fmla="val -122384"/>
            <a:gd name="adj2" fmla="val 93298"/>
          </a:avLst>
        </a:prstGeom>
        <a:solidFill>
          <a:srgbClr val="F8D237"/>
        </a:solidFill>
        <a:ln w="28575">
          <a:solidFill>
            <a:srgbClr val="F3622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200" b="1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1. Input a number. E.g., 100.</a:t>
          </a:r>
          <a:endParaRPr lang="en-GB" sz="1200" b="1">
            <a:solidFill>
              <a:sysClr val="windowText" lastClr="000000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7</xdr:col>
      <xdr:colOff>540854</xdr:colOff>
      <xdr:row>16</xdr:row>
      <xdr:rowOff>111160</xdr:rowOff>
    </xdr:from>
    <xdr:to>
      <xdr:col>14</xdr:col>
      <xdr:colOff>32716</xdr:colOff>
      <xdr:row>19</xdr:row>
      <xdr:rowOff>223630</xdr:rowOff>
    </xdr:to>
    <xdr:sp macro="" textlink="">
      <xdr:nvSpPr>
        <xdr:cNvPr id="4" name="Speech Bubble: Rectangle 3">
          <a:extLst>
            <a:ext uri="{FF2B5EF4-FFF2-40B4-BE49-F238E27FC236}">
              <a16:creationId xmlns:a16="http://schemas.microsoft.com/office/drawing/2014/main" id="{1AAA8914-14F4-4960-1680-8DD3F5E9B07B}"/>
            </a:ext>
          </a:extLst>
        </xdr:cNvPr>
        <xdr:cNvSpPr/>
      </xdr:nvSpPr>
      <xdr:spPr>
        <a:xfrm>
          <a:off x="7258050" y="3424203"/>
          <a:ext cx="3782253" cy="717101"/>
        </a:xfrm>
        <a:prstGeom prst="wedgeRectCallout">
          <a:avLst>
            <a:gd name="adj1" fmla="val -109442"/>
            <a:gd name="adj2" fmla="val 55814"/>
          </a:avLst>
        </a:prstGeom>
        <a:solidFill>
          <a:srgbClr val="F8D237"/>
        </a:solidFill>
        <a:ln w="28575">
          <a:solidFill>
            <a:srgbClr val="F3622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200" b="1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2. This algorithm requires an initial guess at the solution. Input a number. Initially, just</a:t>
          </a:r>
          <a:r>
            <a:rPr lang="en-GB" sz="1200" b="1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input </a:t>
          </a:r>
          <a:r>
            <a:rPr lang="en-GB" sz="1200" b="1" i="1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x</a:t>
          </a:r>
          <a:r>
            <a:rPr lang="en-GB" sz="1200" b="1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. Later, experiment with different values.</a:t>
          </a:r>
          <a:endParaRPr lang="en-GB" sz="1200" b="1">
            <a:solidFill>
              <a:sysClr val="windowText" lastClr="000000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9</xdr:col>
      <xdr:colOff>36030</xdr:colOff>
      <xdr:row>20</xdr:row>
      <xdr:rowOff>212084</xdr:rowOff>
    </xdr:from>
    <xdr:to>
      <xdr:col>15</xdr:col>
      <xdr:colOff>140805</xdr:colOff>
      <xdr:row>23</xdr:row>
      <xdr:rowOff>7063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A1610B97-5ADD-49D7-987B-AE23A9BFCFDE}"/>
            </a:ext>
          </a:extLst>
        </xdr:cNvPr>
        <xdr:cNvSpPr/>
      </xdr:nvSpPr>
      <xdr:spPr>
        <a:xfrm>
          <a:off x="7979052" y="4353388"/>
          <a:ext cx="3782253" cy="540414"/>
        </a:xfrm>
        <a:prstGeom prst="rect">
          <a:avLst/>
        </a:prstGeom>
        <a:solidFill>
          <a:srgbClr val="F8D237"/>
        </a:solidFill>
        <a:ln w="28575">
          <a:solidFill>
            <a:srgbClr val="F3622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200" b="1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3. In</a:t>
          </a:r>
          <a:r>
            <a:rPr lang="en-GB" sz="1200" b="1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cell D22, write a formula that implements the algorithm </a:t>
          </a:r>
          <a:r>
            <a:rPr lang="en-GB" sz="1200" b="1" i="1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r</a:t>
          </a:r>
          <a:r>
            <a:rPr lang="en-GB" sz="1200" b="1" i="1" baseline="-2500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i</a:t>
          </a:r>
          <a:r>
            <a:rPr lang="en-GB" sz="1200" b="1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= ½(</a:t>
          </a:r>
          <a:r>
            <a:rPr lang="en-GB" sz="1200" b="1" i="1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r</a:t>
          </a:r>
          <a:r>
            <a:rPr lang="en-GB" sz="1200" b="1" i="1" baseline="-2500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i – 1</a:t>
          </a:r>
          <a:r>
            <a:rPr lang="en-GB" sz="1200" b="1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+ </a:t>
          </a:r>
          <a:r>
            <a:rPr lang="en-GB" sz="1200" b="1" i="1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x</a:t>
          </a:r>
          <a:r>
            <a:rPr lang="en-GB" sz="1200" b="1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/ </a:t>
          </a:r>
          <a:r>
            <a:rPr lang="en-GB" sz="1200" b="1" i="1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r</a:t>
          </a:r>
          <a:r>
            <a:rPr lang="en-GB" sz="1200" b="1" i="1" baseline="-2500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i – 1</a:t>
          </a:r>
          <a:r>
            <a:rPr lang="en-GB" sz="1200" b="1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).</a:t>
          </a:r>
          <a:endParaRPr lang="en-GB" sz="1200" b="1">
            <a:solidFill>
              <a:sysClr val="windowText" lastClr="000000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2</xdr:col>
      <xdr:colOff>629478</xdr:colOff>
      <xdr:row>10</xdr:row>
      <xdr:rowOff>33132</xdr:rowOff>
    </xdr:from>
    <xdr:to>
      <xdr:col>3</xdr:col>
      <xdr:colOff>1847021</xdr:colOff>
      <xdr:row>13</xdr:row>
      <xdr:rowOff>48869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1C5C3747-49D5-6FBC-FC4B-A83C57D2BA6A}"/>
                </a:ext>
              </a:extLst>
            </xdr:cNvPr>
            <xdr:cNvSpPr txBox="1"/>
          </xdr:nvSpPr>
          <xdr:spPr>
            <a:xfrm>
              <a:off x="2310848" y="1863589"/>
              <a:ext cx="2567608" cy="1009650"/>
            </a:xfrm>
            <a:prstGeom prst="rect">
              <a:avLst/>
            </a:prstGeom>
            <a:solidFill>
              <a:srgbClr val="D9E1F2"/>
            </a:solidFill>
            <a:ln w="28575">
              <a:solidFill>
                <a:srgbClr val="305496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90000" tIns="46800" rIns="90000" bIns="4680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b>
                      <m:sSubPr>
                        <m:ctrlPr>
                          <a:rPr lang="en-GB" sz="20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GB" sz="20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n-GB" sz="20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GB" sz="2000" b="0" i="1"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n-GB" sz="20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GB" sz="2000" b="0" i="1"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n-GB" sz="2000" b="0" i="1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  <m:d>
                      <m:dPr>
                        <m:ctrlPr>
                          <a:rPr lang="en-GB" sz="20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GB" sz="20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GB" sz="20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n-GB" sz="20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GB" sz="2000" b="0" i="1">
                                <a:latin typeface="Cambria Math" panose="02040503050406030204" pitchFamily="18" charset="0"/>
                              </a:rPr>
                              <m:t>−1</m:t>
                            </m:r>
                          </m:sub>
                        </m:sSub>
                        <m:r>
                          <a:rPr lang="en-GB" sz="2000" b="0" i="1">
                            <a:latin typeface="Cambria Math" panose="02040503050406030204" pitchFamily="18" charset="0"/>
                          </a:rPr>
                          <m:t>+</m:t>
                        </m:r>
                        <m:f>
                          <m:fPr>
                            <m:ctrlPr>
                              <a:rPr lang="en-GB" sz="20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GB" sz="20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num>
                          <m:den>
                            <m:sSub>
                              <m:sSubPr>
                                <m:ctrlPr>
                                  <a:rPr lang="en-GB" sz="20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GB" sz="2000" b="0" i="1">
                                    <a:latin typeface="Cambria Math" panose="02040503050406030204" pitchFamily="18" charset="0"/>
                                  </a:rPr>
                                  <m:t>𝑟</m:t>
                                </m:r>
                              </m:e>
                              <m:sub>
                                <m:r>
                                  <a:rPr lang="en-GB" sz="20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  <m:r>
                                  <a:rPr lang="en-GB" sz="2000" b="0" i="1">
                                    <a:latin typeface="Cambria Math" panose="02040503050406030204" pitchFamily="18" charset="0"/>
                                  </a:rPr>
                                  <m:t>−1</m:t>
                                </m:r>
                              </m:sub>
                            </m:sSub>
                          </m:den>
                        </m:f>
                      </m:e>
                    </m:d>
                  </m:oMath>
                </m:oMathPara>
              </a14:m>
              <a:endParaRPr lang="en-GB" sz="20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1C5C3747-49D5-6FBC-FC4B-A83C57D2BA6A}"/>
                </a:ext>
              </a:extLst>
            </xdr:cNvPr>
            <xdr:cNvSpPr txBox="1"/>
          </xdr:nvSpPr>
          <xdr:spPr>
            <a:xfrm>
              <a:off x="2310848" y="1863589"/>
              <a:ext cx="2567608" cy="1009650"/>
            </a:xfrm>
            <a:prstGeom prst="rect">
              <a:avLst/>
            </a:prstGeom>
            <a:solidFill>
              <a:srgbClr val="D9E1F2"/>
            </a:solidFill>
            <a:ln w="28575">
              <a:solidFill>
                <a:srgbClr val="305496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90000" tIns="46800" rIns="90000" bIns="46800" rtlCol="0" anchor="ctr">
              <a:noAutofit/>
            </a:bodyPr>
            <a:lstStyle/>
            <a:p>
              <a:pPr/>
              <a:r>
                <a:rPr lang="en-GB" sz="2000" b="0" i="0">
                  <a:latin typeface="Cambria Math" panose="02040503050406030204" pitchFamily="18" charset="0"/>
                </a:rPr>
                <a:t>𝑟_𝑖=  1/2 (𝑟_(𝑖−1)+𝑥/𝑟_(𝑖−1) )</a:t>
              </a:r>
              <a:endParaRPr lang="en-GB" sz="2000"/>
            </a:p>
          </xdr:txBody>
        </xdr:sp>
      </mc:Fallback>
    </mc:AlternateContent>
    <xdr:clientData/>
  </xdr:twoCellAnchor>
  <xdr:twoCellAnchor editAs="oneCell">
    <xdr:from>
      <xdr:col>9</xdr:col>
      <xdr:colOff>36030</xdr:colOff>
      <xdr:row>24</xdr:row>
      <xdr:rowOff>0</xdr:rowOff>
    </xdr:from>
    <xdr:to>
      <xdr:col>15</xdr:col>
      <xdr:colOff>140805</xdr:colOff>
      <xdr:row>27</xdr:row>
      <xdr:rowOff>5625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F7D3D110-DC40-8C61-DB05-BAE39A07BA0C}"/>
            </a:ext>
          </a:extLst>
        </xdr:cNvPr>
        <xdr:cNvSpPr/>
      </xdr:nvSpPr>
      <xdr:spPr>
        <a:xfrm>
          <a:off x="7979052" y="5126935"/>
          <a:ext cx="3782253" cy="726212"/>
        </a:xfrm>
        <a:prstGeom prst="rect">
          <a:avLst/>
        </a:prstGeom>
        <a:solidFill>
          <a:srgbClr val="F8D237"/>
        </a:solidFill>
        <a:ln w="28575">
          <a:solidFill>
            <a:srgbClr val="F3622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200" b="1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4. Copy this</a:t>
          </a:r>
          <a:r>
            <a:rPr lang="en-GB" sz="1200" b="1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formula down to cell D41 to implement the feedback loop. Take care with absolute vs. relative cell references ($ notation)!</a:t>
          </a:r>
        </a:p>
      </xdr:txBody>
    </xdr:sp>
    <xdr:clientData/>
  </xdr:twoCellAnchor>
  <xdr:twoCellAnchor>
    <xdr:from>
      <xdr:col>2</xdr:col>
      <xdr:colOff>1</xdr:colOff>
      <xdr:row>42</xdr:row>
      <xdr:rowOff>190499</xdr:rowOff>
    </xdr:from>
    <xdr:to>
      <xdr:col>9</xdr:col>
      <xdr:colOff>1</xdr:colOff>
      <xdr:row>58</xdr:row>
      <xdr:rowOff>190499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FF487B96-1D8E-4E77-BE6B-5D758E6A7D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303143</xdr:colOff>
      <xdr:row>9</xdr:row>
      <xdr:rowOff>155667</xdr:rowOff>
    </xdr:from>
    <xdr:to>
      <xdr:col>8</xdr:col>
      <xdr:colOff>157369</xdr:colOff>
      <xdr:row>12</xdr:row>
      <xdr:rowOff>66262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A582E31A-ACD2-3126-9745-89A478B7E9DA}"/>
            </a:ext>
          </a:extLst>
        </xdr:cNvPr>
        <xdr:cNvGrpSpPr/>
      </xdr:nvGrpSpPr>
      <xdr:grpSpPr>
        <a:xfrm>
          <a:off x="5935317" y="1759180"/>
          <a:ext cx="1722782" cy="897882"/>
          <a:chOff x="5620578" y="1819653"/>
          <a:chExt cx="1692965" cy="904508"/>
        </a:xfrm>
      </xdr:grpSpPr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5" name="TextBox 4">
                <a:extLst>
                  <a:ext uri="{FF2B5EF4-FFF2-40B4-BE49-F238E27FC236}">
                    <a16:creationId xmlns:a16="http://schemas.microsoft.com/office/drawing/2014/main" id="{DE67BBDF-6D7F-8D98-A8A8-0A1671EDDF13}"/>
                  </a:ext>
                </a:extLst>
              </xdr:cNvPr>
              <xdr:cNvSpPr txBox="1"/>
            </xdr:nvSpPr>
            <xdr:spPr>
              <a:xfrm>
                <a:off x="5620578" y="2058443"/>
                <a:ext cx="1692965" cy="665718"/>
              </a:xfrm>
              <a:prstGeom prst="roundRect">
                <a:avLst/>
              </a:prstGeom>
              <a:solidFill>
                <a:srgbClr val="C5E0B4"/>
              </a:solidFill>
              <a:ln w="28575">
                <a:solidFill>
                  <a:srgbClr val="385723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lIns="90000" tIns="46800" rIns="90000" bIns="46800" rtlCol="0" anchor="ctr">
                <a:noAutofit/>
              </a:bodyPr>
              <a:lstStyle/>
              <a:p>
                <a:pPr/>
                <a14:m>
                  <m:oMathPara xmlns:m="http://schemas.openxmlformats.org/officeDocument/2006/math">
                    <m:oMathParaPr>
                      <m:jc m:val="center"/>
                    </m:oMathParaPr>
                    <m:oMath xmlns:m="http://schemas.openxmlformats.org/officeDocument/2006/math">
                      <m:sSub>
                        <m:sSubPr>
                          <m:ctrlPr>
                            <a:rPr lang="en-GB" sz="1400" b="0" i="1">
                              <a:solidFill>
                                <a:srgbClr val="233616"/>
                              </a:solidFill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GB" sz="1400" b="0" i="1">
                              <a:solidFill>
                                <a:srgbClr val="233616"/>
                              </a:solidFill>
                              <a:latin typeface="Cambria Math" panose="02040503050406030204" pitchFamily="18" charset="0"/>
                            </a:rPr>
                            <m:t>𝑟</m:t>
                          </m:r>
                        </m:e>
                        <m:sub>
                          <m:r>
                            <a:rPr lang="en-GB" sz="1400" b="0" i="1">
                              <a:solidFill>
                                <a:srgbClr val="233616"/>
                              </a:solidFill>
                              <a:latin typeface="Cambria Math" panose="02040503050406030204" pitchFamily="18" charset="0"/>
                            </a:rPr>
                            <m:t>1</m:t>
                          </m:r>
                        </m:sub>
                      </m:sSub>
                      <m:r>
                        <a:rPr lang="en-GB" sz="1400" b="0" i="1">
                          <a:solidFill>
                            <a:srgbClr val="233616"/>
                          </a:solidFill>
                          <a:latin typeface="Cambria Math" panose="02040503050406030204" pitchFamily="18" charset="0"/>
                        </a:rPr>
                        <m:t>= </m:t>
                      </m:r>
                      <m:f>
                        <m:fPr>
                          <m:ctrlPr>
                            <a:rPr lang="en-GB" sz="1400" b="0" i="1">
                              <a:solidFill>
                                <a:srgbClr val="233616"/>
                              </a:solidFill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en-GB" sz="1400" b="0" i="1">
                              <a:solidFill>
                                <a:srgbClr val="233616"/>
                              </a:solidFill>
                              <a:latin typeface="Cambria Math" panose="02040503050406030204" pitchFamily="18" charset="0"/>
                            </a:rPr>
                            <m:t>1</m:t>
                          </m:r>
                        </m:num>
                        <m:den>
                          <m:r>
                            <a:rPr lang="en-GB" sz="1400" b="0" i="1">
                              <a:solidFill>
                                <a:srgbClr val="233616"/>
                              </a:solidFill>
                              <a:latin typeface="Cambria Math" panose="02040503050406030204" pitchFamily="18" charset="0"/>
                            </a:rPr>
                            <m:t>2</m:t>
                          </m:r>
                        </m:den>
                      </m:f>
                      <m:d>
                        <m:dPr>
                          <m:ctrlPr>
                            <a:rPr lang="en-GB" sz="1400" b="0" i="1">
                              <a:solidFill>
                                <a:srgbClr val="233616"/>
                              </a:solidFill>
                              <a:latin typeface="Cambria Math" panose="02040503050406030204" pitchFamily="18" charset="0"/>
                            </a:rPr>
                          </m:ctrlPr>
                        </m:dPr>
                        <m:e>
                          <m:sSub>
                            <m:sSubPr>
                              <m:ctrlPr>
                                <a:rPr lang="en-GB" sz="1400" b="0" i="1">
                                  <a:solidFill>
                                    <a:srgbClr val="233616"/>
                                  </a:solidFill>
                                  <a:latin typeface="Cambria Math" panose="02040503050406030204" pitchFamily="18" charset="0"/>
                                </a:rPr>
                              </m:ctrlPr>
                            </m:sSubPr>
                            <m:e>
                              <m:r>
                                <a:rPr lang="en-GB" sz="1400" b="0" i="1">
                                  <a:solidFill>
                                    <a:srgbClr val="233616"/>
                                  </a:solidFill>
                                  <a:latin typeface="Cambria Math" panose="02040503050406030204" pitchFamily="18" charset="0"/>
                                </a:rPr>
                                <m:t>𝑟</m:t>
                              </m:r>
                            </m:e>
                            <m:sub>
                              <m:r>
                                <a:rPr lang="en-GB" sz="1400" b="0" i="1">
                                  <a:solidFill>
                                    <a:srgbClr val="233616"/>
                                  </a:solidFill>
                                  <a:latin typeface="Cambria Math" panose="02040503050406030204" pitchFamily="18" charset="0"/>
                                </a:rPr>
                                <m:t>0</m:t>
                              </m:r>
                            </m:sub>
                          </m:sSub>
                          <m:r>
                            <a:rPr lang="en-GB" sz="1400" b="0" i="1">
                              <a:solidFill>
                                <a:srgbClr val="233616"/>
                              </a:solidFill>
                              <a:latin typeface="Cambria Math" panose="02040503050406030204" pitchFamily="18" charset="0"/>
                            </a:rPr>
                            <m:t>+</m:t>
                          </m:r>
                          <m:f>
                            <m:fPr>
                              <m:ctrlPr>
                                <a:rPr lang="en-GB" sz="1400" b="0" i="1">
                                  <a:solidFill>
                                    <a:srgbClr val="233616"/>
                                  </a:solidFill>
                                  <a:latin typeface="Cambria Math" panose="02040503050406030204" pitchFamily="18" charset="0"/>
                                </a:rPr>
                              </m:ctrlPr>
                            </m:fPr>
                            <m:num>
                              <m:r>
                                <a:rPr lang="en-GB" sz="1400" b="0" i="1">
                                  <a:solidFill>
                                    <a:srgbClr val="233616"/>
                                  </a:solidFill>
                                  <a:latin typeface="Cambria Math" panose="02040503050406030204" pitchFamily="18" charset="0"/>
                                </a:rPr>
                                <m:t>𝑥</m:t>
                              </m:r>
                            </m:num>
                            <m:den>
                              <m:sSub>
                                <m:sSubPr>
                                  <m:ctrlPr>
                                    <a:rPr lang="en-GB" sz="1400" b="0" i="1">
                                      <a:solidFill>
                                        <a:srgbClr val="233616"/>
                                      </a:solidFill>
                                      <a:latin typeface="Cambria Math" panose="02040503050406030204" pitchFamily="18" charset="0"/>
                                    </a:rPr>
                                  </m:ctrlPr>
                                </m:sSubPr>
                                <m:e>
                                  <m:r>
                                    <a:rPr lang="en-GB" sz="1400" b="0" i="1">
                                      <a:solidFill>
                                        <a:srgbClr val="233616"/>
                                      </a:solidFill>
                                      <a:latin typeface="Cambria Math" panose="02040503050406030204" pitchFamily="18" charset="0"/>
                                    </a:rPr>
                                    <m:t>𝑟</m:t>
                                  </m:r>
                                </m:e>
                                <m:sub>
                                  <m:r>
                                    <a:rPr lang="en-GB" sz="1400" b="0" i="1">
                                      <a:solidFill>
                                        <a:srgbClr val="233616"/>
                                      </a:solidFill>
                                      <a:latin typeface="Cambria Math" panose="02040503050406030204" pitchFamily="18" charset="0"/>
                                    </a:rPr>
                                    <m:t>0</m:t>
                                  </m:r>
                                </m:sub>
                              </m:sSub>
                            </m:den>
                          </m:f>
                        </m:e>
                      </m:d>
                    </m:oMath>
                  </m:oMathPara>
                </a14:m>
                <a:endParaRPr lang="en-GB" sz="1400">
                  <a:solidFill>
                    <a:srgbClr val="233616"/>
                  </a:solidFill>
                </a:endParaRPr>
              </a:p>
            </xdr:txBody>
          </xdr:sp>
        </mc:Choice>
        <mc:Fallback xmlns="">
          <xdr:sp macro="" textlink="">
            <xdr:nvSpPr>
              <xdr:cNvPr id="5" name="TextBox 4">
                <a:extLst>
                  <a:ext uri="{FF2B5EF4-FFF2-40B4-BE49-F238E27FC236}">
                    <a16:creationId xmlns:a16="http://schemas.microsoft.com/office/drawing/2014/main" id="{DE67BBDF-6D7F-8D98-A8A8-0A1671EDDF13}"/>
                  </a:ext>
                </a:extLst>
              </xdr:cNvPr>
              <xdr:cNvSpPr txBox="1"/>
            </xdr:nvSpPr>
            <xdr:spPr>
              <a:xfrm>
                <a:off x="5620578" y="2058443"/>
                <a:ext cx="1692965" cy="665718"/>
              </a:xfrm>
              <a:prstGeom prst="roundRect">
                <a:avLst/>
              </a:prstGeom>
              <a:solidFill>
                <a:srgbClr val="C5E0B4"/>
              </a:solidFill>
              <a:ln w="28575">
                <a:solidFill>
                  <a:srgbClr val="385723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lIns="90000" tIns="46800" rIns="90000" bIns="46800" rtlCol="0" anchor="ctr">
                <a:noAutofit/>
              </a:bodyPr>
              <a:lstStyle/>
              <a:p>
                <a:pPr/>
                <a:r>
                  <a:rPr lang="en-GB" sz="1400" b="0" i="0">
                    <a:solidFill>
                      <a:srgbClr val="233616"/>
                    </a:solidFill>
                    <a:latin typeface="Cambria Math" panose="02040503050406030204" pitchFamily="18" charset="0"/>
                  </a:rPr>
                  <a:t>𝑟_1=  1/2 (𝑟_0+𝑥/𝑟_0 )</a:t>
                </a:r>
                <a:endParaRPr lang="en-GB" sz="1400">
                  <a:solidFill>
                    <a:srgbClr val="233616"/>
                  </a:solidFill>
                </a:endParaRPr>
              </a:p>
            </xdr:txBody>
          </xdr:sp>
        </mc:Fallback>
      </mc:AlternateContent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8AFC3C50-501D-8BAE-69F5-6397FD4B9307}"/>
              </a:ext>
            </a:extLst>
          </xdr:cNvPr>
          <xdr:cNvSpPr txBox="1"/>
        </xdr:nvSpPr>
        <xdr:spPr>
          <a:xfrm>
            <a:off x="5620578" y="1819653"/>
            <a:ext cx="1096618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GB" sz="1200" b="1">
                <a:solidFill>
                  <a:srgbClr val="233616"/>
                </a:solidFill>
              </a:rPr>
              <a:t>Example 1</a:t>
            </a:r>
          </a:p>
        </xdr:txBody>
      </xdr:sp>
    </xdr:grpSp>
    <xdr:clientData/>
  </xdr:twoCellAnchor>
  <xdr:twoCellAnchor editAs="oneCell">
    <xdr:from>
      <xdr:col>8</xdr:col>
      <xdr:colOff>319709</xdr:colOff>
      <xdr:row>9</xdr:row>
      <xdr:rowOff>155667</xdr:rowOff>
    </xdr:from>
    <xdr:to>
      <xdr:col>11</xdr:col>
      <xdr:colOff>173935</xdr:colOff>
      <xdr:row>12</xdr:row>
      <xdr:rowOff>66262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DE0D3096-1E15-6E9A-075F-AF4AD25F1936}"/>
            </a:ext>
          </a:extLst>
        </xdr:cNvPr>
        <xdr:cNvGrpSpPr/>
      </xdr:nvGrpSpPr>
      <xdr:grpSpPr>
        <a:xfrm>
          <a:off x="7820439" y="1759180"/>
          <a:ext cx="1722783" cy="897882"/>
          <a:chOff x="5620578" y="1819653"/>
          <a:chExt cx="1692965" cy="904508"/>
        </a:xfrm>
      </xdr:grpSpPr>
      <mc:AlternateContent xmlns:mc="http://schemas.openxmlformats.org/markup-compatibility/2006" xmlns:a14="http://schemas.microsoft.com/office/drawing/2010/main">
        <mc:Choice Requires="a14">
          <xdr:sp macro="" textlink="">
            <xdr:nvSpPr>
              <xdr:cNvPr id="14" name="TextBox 13">
                <a:extLst>
                  <a:ext uri="{FF2B5EF4-FFF2-40B4-BE49-F238E27FC236}">
                    <a16:creationId xmlns:a16="http://schemas.microsoft.com/office/drawing/2014/main" id="{9B277CB4-A389-3801-894D-B8249F04E4B8}"/>
                  </a:ext>
                </a:extLst>
              </xdr:cNvPr>
              <xdr:cNvSpPr txBox="1"/>
            </xdr:nvSpPr>
            <xdr:spPr>
              <a:xfrm>
                <a:off x="5620578" y="2058443"/>
                <a:ext cx="1692965" cy="665718"/>
              </a:xfrm>
              <a:prstGeom prst="roundRect">
                <a:avLst/>
              </a:prstGeom>
              <a:solidFill>
                <a:srgbClr val="C5E0B4"/>
              </a:solidFill>
              <a:ln w="28575">
                <a:solidFill>
                  <a:srgbClr val="385723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lIns="90000" tIns="46800" rIns="90000" bIns="46800" rtlCol="0" anchor="ctr">
                <a:noAutofit/>
              </a:bodyPr>
              <a:lstStyle/>
              <a:p>
                <a:pPr/>
                <a14:m>
                  <m:oMathPara xmlns:m="http://schemas.openxmlformats.org/officeDocument/2006/math">
                    <m:oMathParaPr>
                      <m:jc m:val="center"/>
                    </m:oMathParaPr>
                    <m:oMath xmlns:m="http://schemas.openxmlformats.org/officeDocument/2006/math">
                      <m:sSub>
                        <m:sSubPr>
                          <m:ctrlPr>
                            <a:rPr lang="en-GB" sz="1400" b="0" i="1">
                              <a:solidFill>
                                <a:srgbClr val="233616"/>
                              </a:solidFill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GB" sz="1400" b="0" i="1">
                              <a:solidFill>
                                <a:srgbClr val="233616"/>
                              </a:solidFill>
                              <a:latin typeface="Cambria Math" panose="02040503050406030204" pitchFamily="18" charset="0"/>
                            </a:rPr>
                            <m:t>𝑟</m:t>
                          </m:r>
                        </m:e>
                        <m:sub>
                          <m:r>
                            <a:rPr lang="en-GB" sz="1400" b="0" i="1">
                              <a:solidFill>
                                <a:srgbClr val="233616"/>
                              </a:solidFill>
                              <a:latin typeface="Cambria Math" panose="02040503050406030204" pitchFamily="18" charset="0"/>
                            </a:rPr>
                            <m:t>2</m:t>
                          </m:r>
                        </m:sub>
                      </m:sSub>
                      <m:r>
                        <a:rPr lang="en-GB" sz="1400" b="0" i="1">
                          <a:solidFill>
                            <a:srgbClr val="233616"/>
                          </a:solidFill>
                          <a:latin typeface="Cambria Math" panose="02040503050406030204" pitchFamily="18" charset="0"/>
                        </a:rPr>
                        <m:t>= </m:t>
                      </m:r>
                      <m:f>
                        <m:fPr>
                          <m:ctrlPr>
                            <a:rPr lang="en-GB" sz="1400" b="0" i="1">
                              <a:solidFill>
                                <a:srgbClr val="233616"/>
                              </a:solidFill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en-GB" sz="1400" b="0" i="1">
                              <a:solidFill>
                                <a:srgbClr val="233616"/>
                              </a:solidFill>
                              <a:latin typeface="Cambria Math" panose="02040503050406030204" pitchFamily="18" charset="0"/>
                            </a:rPr>
                            <m:t>1</m:t>
                          </m:r>
                        </m:num>
                        <m:den>
                          <m:r>
                            <a:rPr lang="en-GB" sz="1400" b="0" i="1">
                              <a:solidFill>
                                <a:srgbClr val="233616"/>
                              </a:solidFill>
                              <a:latin typeface="Cambria Math" panose="02040503050406030204" pitchFamily="18" charset="0"/>
                            </a:rPr>
                            <m:t>2</m:t>
                          </m:r>
                        </m:den>
                      </m:f>
                      <m:d>
                        <m:dPr>
                          <m:ctrlPr>
                            <a:rPr lang="en-GB" sz="1400" b="0" i="1">
                              <a:solidFill>
                                <a:srgbClr val="233616"/>
                              </a:solidFill>
                              <a:latin typeface="Cambria Math" panose="02040503050406030204" pitchFamily="18" charset="0"/>
                            </a:rPr>
                          </m:ctrlPr>
                        </m:dPr>
                        <m:e>
                          <m:sSub>
                            <m:sSubPr>
                              <m:ctrlPr>
                                <a:rPr lang="en-GB" sz="1400" b="0" i="1">
                                  <a:solidFill>
                                    <a:srgbClr val="233616"/>
                                  </a:solidFill>
                                  <a:latin typeface="Cambria Math" panose="02040503050406030204" pitchFamily="18" charset="0"/>
                                </a:rPr>
                              </m:ctrlPr>
                            </m:sSubPr>
                            <m:e>
                              <m:r>
                                <a:rPr lang="en-GB" sz="1400" b="0" i="1">
                                  <a:solidFill>
                                    <a:srgbClr val="233616"/>
                                  </a:solidFill>
                                  <a:latin typeface="Cambria Math" panose="02040503050406030204" pitchFamily="18" charset="0"/>
                                </a:rPr>
                                <m:t>𝑟</m:t>
                              </m:r>
                            </m:e>
                            <m:sub>
                              <m:r>
                                <a:rPr lang="en-GB" sz="1400" b="0" i="1">
                                  <a:solidFill>
                                    <a:srgbClr val="233616"/>
                                  </a:solidFill>
                                  <a:latin typeface="Cambria Math" panose="02040503050406030204" pitchFamily="18" charset="0"/>
                                </a:rPr>
                                <m:t>1</m:t>
                              </m:r>
                            </m:sub>
                          </m:sSub>
                          <m:r>
                            <a:rPr lang="en-GB" sz="1400" b="0" i="1">
                              <a:solidFill>
                                <a:srgbClr val="233616"/>
                              </a:solidFill>
                              <a:latin typeface="Cambria Math" panose="02040503050406030204" pitchFamily="18" charset="0"/>
                            </a:rPr>
                            <m:t>+</m:t>
                          </m:r>
                          <m:f>
                            <m:fPr>
                              <m:ctrlPr>
                                <a:rPr lang="en-GB" sz="1400" b="0" i="1">
                                  <a:solidFill>
                                    <a:srgbClr val="233616"/>
                                  </a:solidFill>
                                  <a:latin typeface="Cambria Math" panose="02040503050406030204" pitchFamily="18" charset="0"/>
                                </a:rPr>
                              </m:ctrlPr>
                            </m:fPr>
                            <m:num>
                              <m:r>
                                <a:rPr lang="en-GB" sz="1400" b="0" i="1">
                                  <a:solidFill>
                                    <a:srgbClr val="233616"/>
                                  </a:solidFill>
                                  <a:latin typeface="Cambria Math" panose="02040503050406030204" pitchFamily="18" charset="0"/>
                                </a:rPr>
                                <m:t>𝑥</m:t>
                              </m:r>
                            </m:num>
                            <m:den>
                              <m:sSub>
                                <m:sSubPr>
                                  <m:ctrlPr>
                                    <a:rPr lang="en-GB" sz="1400" b="0" i="1">
                                      <a:solidFill>
                                        <a:srgbClr val="233616"/>
                                      </a:solidFill>
                                      <a:latin typeface="Cambria Math" panose="02040503050406030204" pitchFamily="18" charset="0"/>
                                    </a:rPr>
                                  </m:ctrlPr>
                                </m:sSubPr>
                                <m:e>
                                  <m:r>
                                    <a:rPr lang="en-GB" sz="1400" b="0" i="1">
                                      <a:solidFill>
                                        <a:srgbClr val="233616"/>
                                      </a:solidFill>
                                      <a:latin typeface="Cambria Math" panose="02040503050406030204" pitchFamily="18" charset="0"/>
                                    </a:rPr>
                                    <m:t>𝑟</m:t>
                                  </m:r>
                                </m:e>
                                <m:sub>
                                  <m:r>
                                    <a:rPr lang="en-GB" sz="1400" b="0" i="1">
                                      <a:solidFill>
                                        <a:srgbClr val="233616"/>
                                      </a:solidFill>
                                      <a:latin typeface="Cambria Math" panose="02040503050406030204" pitchFamily="18" charset="0"/>
                                    </a:rPr>
                                    <m:t>1</m:t>
                                  </m:r>
                                </m:sub>
                              </m:sSub>
                            </m:den>
                          </m:f>
                        </m:e>
                      </m:d>
                    </m:oMath>
                  </m:oMathPara>
                </a14:m>
                <a:endParaRPr lang="en-GB" sz="1400">
                  <a:solidFill>
                    <a:srgbClr val="233616"/>
                  </a:solidFill>
                </a:endParaRPr>
              </a:p>
            </xdr:txBody>
          </xdr:sp>
        </mc:Choice>
        <mc:Fallback xmlns="">
          <xdr:sp macro="" textlink="">
            <xdr:nvSpPr>
              <xdr:cNvPr id="14" name="TextBox 13">
                <a:extLst>
                  <a:ext uri="{FF2B5EF4-FFF2-40B4-BE49-F238E27FC236}">
                    <a16:creationId xmlns:a16="http://schemas.microsoft.com/office/drawing/2014/main" id="{9B277CB4-A389-3801-894D-B8249F04E4B8}"/>
                  </a:ext>
                </a:extLst>
              </xdr:cNvPr>
              <xdr:cNvSpPr txBox="1"/>
            </xdr:nvSpPr>
            <xdr:spPr>
              <a:xfrm>
                <a:off x="5620578" y="2058443"/>
                <a:ext cx="1692965" cy="665718"/>
              </a:xfrm>
              <a:prstGeom prst="roundRect">
                <a:avLst/>
              </a:prstGeom>
              <a:solidFill>
                <a:srgbClr val="C5E0B4"/>
              </a:solidFill>
              <a:ln w="28575">
                <a:solidFill>
                  <a:srgbClr val="385723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lIns="90000" tIns="46800" rIns="90000" bIns="46800" rtlCol="0" anchor="ctr">
                <a:noAutofit/>
              </a:bodyPr>
              <a:lstStyle/>
              <a:p>
                <a:pPr/>
                <a:r>
                  <a:rPr lang="en-GB" sz="1400" b="0" i="0">
                    <a:solidFill>
                      <a:srgbClr val="233616"/>
                    </a:solidFill>
                    <a:latin typeface="Cambria Math" panose="02040503050406030204" pitchFamily="18" charset="0"/>
                  </a:rPr>
                  <a:t>𝑟_2=  1/2 (𝑟_1+𝑥/𝑟_1 )</a:t>
                </a:r>
                <a:endParaRPr lang="en-GB" sz="1400">
                  <a:solidFill>
                    <a:srgbClr val="233616"/>
                  </a:solidFill>
                </a:endParaRPr>
              </a:p>
            </xdr:txBody>
          </xdr:sp>
        </mc:Fallback>
      </mc:AlternateContent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134BA9D3-BA53-EECD-A0D7-E26084A607BA}"/>
              </a:ext>
            </a:extLst>
          </xdr:cNvPr>
          <xdr:cNvSpPr txBox="1"/>
        </xdr:nvSpPr>
        <xdr:spPr>
          <a:xfrm>
            <a:off x="5620578" y="1819653"/>
            <a:ext cx="1096618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GB" sz="1200" b="1">
                <a:solidFill>
                  <a:srgbClr val="233616"/>
                </a:solidFill>
              </a:rPr>
              <a:t>Example 2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</xdr:col>
      <xdr:colOff>583844</xdr:colOff>
      <xdr:row>4</xdr:row>
      <xdr:rowOff>103241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FECE73-941C-4A97-B568-9E123E3E2AB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8650" t="-13750" r="1"/>
        <a:stretch/>
      </xdr:blipFill>
      <xdr:spPr>
        <a:xfrm>
          <a:off x="0" y="0"/>
          <a:ext cx="1196757" cy="865241"/>
        </a:xfrm>
        <a:prstGeom prst="rect">
          <a:avLst/>
        </a:prstGeom>
      </xdr:spPr>
    </xdr:pic>
    <xdr:clientData/>
  </xdr:twoCellAnchor>
  <xdr:twoCellAnchor editAs="oneCell">
    <xdr:from>
      <xdr:col>2</xdr:col>
      <xdr:colOff>200026</xdr:colOff>
      <xdr:row>43</xdr:row>
      <xdr:rowOff>228601</xdr:rowOff>
    </xdr:from>
    <xdr:to>
      <xdr:col>3</xdr:col>
      <xdr:colOff>752476</xdr:colOff>
      <xdr:row>45</xdr:row>
      <xdr:rowOff>189557</xdr:rowOff>
    </xdr:to>
    <xdr:sp macro="" textlink="Dev!$B$32">
      <xdr:nvSpPr>
        <xdr:cNvPr id="5" name="Speech Bubble: Rectangle 4">
          <a:extLst>
            <a:ext uri="{FF2B5EF4-FFF2-40B4-BE49-F238E27FC236}">
              <a16:creationId xmlns:a16="http://schemas.microsoft.com/office/drawing/2014/main" id="{D4E432F0-31A9-41CF-A0C2-EE2621215BE1}"/>
            </a:ext>
          </a:extLst>
        </xdr:cNvPr>
        <xdr:cNvSpPr/>
      </xdr:nvSpPr>
      <xdr:spPr>
        <a:xfrm>
          <a:off x="1952626" y="6905626"/>
          <a:ext cx="1695450" cy="722956"/>
        </a:xfrm>
        <a:prstGeom prst="wedgeRectCallout">
          <a:avLst>
            <a:gd name="adj1" fmla="val 62596"/>
            <a:gd name="adj2" fmla="val 95936"/>
          </a:avLst>
        </a:prstGeom>
        <a:solidFill>
          <a:srgbClr val="F8D237"/>
        </a:solidFill>
        <a:ln w="28575">
          <a:solidFill>
            <a:srgbClr val="F3622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fld id="{DF2F9DAC-07B7-4CC5-8C90-D55264A4B45B}" type="TxLink">
            <a:rPr lang="en-US" sz="1200" b="1" i="0" u="none" strike="noStrike">
              <a:solidFill>
                <a:srgbClr val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t>1. In cell E49, enter the formula:
=E43</a:t>
          </a:fld>
          <a:endParaRPr lang="en-GB" sz="1400" b="1">
            <a:solidFill>
              <a:sysClr val="windowText" lastClr="000000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</xdr:col>
      <xdr:colOff>696560</xdr:colOff>
      <xdr:row>48</xdr:row>
      <xdr:rowOff>144188</xdr:rowOff>
    </xdr:from>
    <xdr:to>
      <xdr:col>2</xdr:col>
      <xdr:colOff>638907</xdr:colOff>
      <xdr:row>50</xdr:row>
      <xdr:rowOff>282188</xdr:rowOff>
    </xdr:to>
    <xdr:sp macro="" textlink="Dev!$B$33">
      <xdr:nvSpPr>
        <xdr:cNvPr id="11" name="Rectangle 10">
          <a:extLst>
            <a:ext uri="{FF2B5EF4-FFF2-40B4-BE49-F238E27FC236}">
              <a16:creationId xmlns:a16="http://schemas.microsoft.com/office/drawing/2014/main" id="{EB1D1B30-C1D9-B4B9-CE96-0372B48C76DA}"/>
            </a:ext>
          </a:extLst>
        </xdr:cNvPr>
        <xdr:cNvSpPr/>
      </xdr:nvSpPr>
      <xdr:spPr>
        <a:xfrm>
          <a:off x="1306160" y="8173763"/>
          <a:ext cx="1085347" cy="900000"/>
        </a:xfrm>
        <a:prstGeom prst="rect">
          <a:avLst/>
        </a:prstGeom>
        <a:solidFill>
          <a:srgbClr val="F8D237"/>
        </a:solidFill>
        <a:ln w="28575">
          <a:solidFill>
            <a:srgbClr val="F3622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fld id="{B5F53737-328D-443A-AF94-ED7E66D31CDE}" type="TxLink">
            <a:rPr lang="en-US" sz="1200" b="1" i="0" u="none" strike="noStrike">
              <a:solidFill>
                <a:srgbClr val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t>2. Copy the formula down to cell E45.</a:t>
          </a:fld>
          <a:endParaRPr lang="en-GB" sz="1200" b="1" i="0" u="none" strike="noStrike">
            <a:solidFill>
              <a:srgbClr val="000000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2</xdr:col>
      <xdr:colOff>768945</xdr:colOff>
      <xdr:row>53</xdr:row>
      <xdr:rowOff>52074</xdr:rowOff>
    </xdr:from>
    <xdr:to>
      <xdr:col>4</xdr:col>
      <xdr:colOff>180653</xdr:colOff>
      <xdr:row>56</xdr:row>
      <xdr:rowOff>27222</xdr:rowOff>
    </xdr:to>
    <xdr:sp macro="" textlink="Dev!$B$34">
      <xdr:nvSpPr>
        <xdr:cNvPr id="19" name="Rectangle 18">
          <a:extLst>
            <a:ext uri="{FF2B5EF4-FFF2-40B4-BE49-F238E27FC236}">
              <a16:creationId xmlns:a16="http://schemas.microsoft.com/office/drawing/2014/main" id="{A75ACC2A-67C8-4707-BAC2-E8FAC0774E34}"/>
            </a:ext>
          </a:extLst>
        </xdr:cNvPr>
        <xdr:cNvSpPr/>
      </xdr:nvSpPr>
      <xdr:spPr>
        <a:xfrm>
          <a:off x="2568562" y="9312806"/>
          <a:ext cx="1759317" cy="519897"/>
        </a:xfrm>
        <a:prstGeom prst="rect">
          <a:avLst/>
        </a:prstGeom>
        <a:solidFill>
          <a:srgbClr val="F8D237"/>
        </a:solidFill>
        <a:ln w="28575">
          <a:solidFill>
            <a:srgbClr val="F3622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fld id="{10841578-C080-409B-8581-4F0E52FDA961}" type="TxLink">
            <a:rPr lang="en-US" sz="1200" b="1" i="0" u="none" strike="noStrike">
              <a:solidFill>
                <a:srgbClr val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t>3. Copy the formula across to cell G45.</a:t>
          </a:fld>
          <a:endParaRPr lang="en-GB" sz="1400" b="1" i="0" u="none" strike="noStrike">
            <a:solidFill>
              <a:srgbClr val="000000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2</xdr:col>
      <xdr:colOff>296880</xdr:colOff>
      <xdr:row>45</xdr:row>
      <xdr:rowOff>132687</xdr:rowOff>
    </xdr:from>
    <xdr:to>
      <xdr:col>4</xdr:col>
      <xdr:colOff>2100</xdr:colOff>
      <xdr:row>54</xdr:row>
      <xdr:rowOff>49143</xdr:rowOff>
    </xdr:to>
    <xdr:grpSp>
      <xdr:nvGrpSpPr>
        <xdr:cNvPr id="25" name="Group 24">
          <a:extLst>
            <a:ext uri="{FF2B5EF4-FFF2-40B4-BE49-F238E27FC236}">
              <a16:creationId xmlns:a16="http://schemas.microsoft.com/office/drawing/2014/main" id="{BB75FA1E-D9C9-FFBE-C908-EDECD069DCA0}"/>
            </a:ext>
          </a:extLst>
        </xdr:cNvPr>
        <xdr:cNvGrpSpPr/>
      </xdr:nvGrpSpPr>
      <xdr:grpSpPr>
        <a:xfrm>
          <a:off x="2092550" y="8620704"/>
          <a:ext cx="2050854" cy="2195830"/>
          <a:chOff x="1151368" y="7615957"/>
          <a:chExt cx="1979282" cy="2220893"/>
        </a:xfrm>
      </xdr:grpSpPr>
      <xdr:pic>
        <xdr:nvPicPr>
          <xdr:cNvPr id="7" name="Picture 6">
            <a:extLst>
              <a:ext uri="{FF2B5EF4-FFF2-40B4-BE49-F238E27FC236}">
                <a16:creationId xmlns:a16="http://schemas.microsoft.com/office/drawing/2014/main" id="{9325DCDA-8AED-AE19-E52E-A375A2E1DDB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alphaModFix amt="5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1151368" y="7615957"/>
            <a:ext cx="1790506" cy="2220893"/>
          </a:xfrm>
          <a:prstGeom prst="rect">
            <a:avLst/>
          </a:prstGeom>
        </xdr:spPr>
      </xdr:pic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BE35CD9E-FBF3-2BC0-6345-894E3C0C3F91}"/>
              </a:ext>
            </a:extLst>
          </xdr:cNvPr>
          <xdr:cNvSpPr txBox="1"/>
        </xdr:nvSpPr>
        <xdr:spPr>
          <a:xfrm>
            <a:off x="2700341" y="8531295"/>
            <a:ext cx="430309" cy="69674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pPr algn="ctr"/>
            <a:r>
              <a:rPr lang="en-GB" sz="1000" b="1">
                <a:solidFill>
                  <a:srgbClr val="FF0000"/>
                </a:solidFill>
                <a:effectLst>
                  <a:glow rad="50800">
                    <a:schemeClr val="bg1"/>
                  </a:glow>
                </a:effectLst>
              </a:rPr>
              <a:t>Click</a:t>
            </a:r>
          </a:p>
          <a:p>
            <a:pPr algn="ctr"/>
            <a:r>
              <a:rPr lang="en-GB" sz="1000" b="1">
                <a:solidFill>
                  <a:srgbClr val="FF0000"/>
                </a:solidFill>
                <a:effectLst>
                  <a:glow rad="50800">
                    <a:schemeClr val="bg1"/>
                  </a:glow>
                </a:effectLst>
              </a:rPr>
              <a:t>&amp;</a:t>
            </a:r>
          </a:p>
          <a:p>
            <a:pPr algn="ctr"/>
            <a:r>
              <a:rPr lang="en-GB" sz="1000" b="1">
                <a:solidFill>
                  <a:srgbClr val="FF0000"/>
                </a:solidFill>
                <a:effectLst>
                  <a:glow rad="50800">
                    <a:schemeClr val="bg1"/>
                  </a:glow>
                </a:effectLst>
              </a:rPr>
              <a:t>drag</a:t>
            </a:r>
          </a:p>
        </xdr:txBody>
      </xdr:sp>
      <xdr:sp macro="" textlink="">
        <xdr:nvSpPr>
          <xdr:cNvPr id="8" name="Arrow: Right 7">
            <a:extLst>
              <a:ext uri="{FF2B5EF4-FFF2-40B4-BE49-F238E27FC236}">
                <a16:creationId xmlns:a16="http://schemas.microsoft.com/office/drawing/2014/main" id="{381FC576-0D37-3C39-8AD6-C78D9869213E}"/>
              </a:ext>
            </a:extLst>
          </xdr:cNvPr>
          <xdr:cNvSpPr/>
        </xdr:nvSpPr>
        <xdr:spPr>
          <a:xfrm rot="5400000">
            <a:off x="2424154" y="8744411"/>
            <a:ext cx="429082" cy="187805"/>
          </a:xfrm>
          <a:prstGeom prst="rightArrow">
            <a:avLst>
              <a:gd name="adj1" fmla="val 43407"/>
              <a:gd name="adj2" fmla="val 67506"/>
            </a:avLst>
          </a:prstGeom>
          <a:solidFill>
            <a:srgbClr val="FF0000"/>
          </a:solidFill>
          <a:ln w="28575">
            <a:solidFill>
              <a:schemeClr val="bg1"/>
            </a:solidFill>
          </a:ln>
          <a:effectLst>
            <a:outerShdw blurRad="63500" dist="127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22" name="Oval 21">
            <a:extLst>
              <a:ext uri="{FF2B5EF4-FFF2-40B4-BE49-F238E27FC236}">
                <a16:creationId xmlns:a16="http://schemas.microsoft.com/office/drawing/2014/main" id="{CBF109ED-7221-585D-1BF5-523D68BF6334}"/>
              </a:ext>
            </a:extLst>
          </xdr:cNvPr>
          <xdr:cNvSpPr/>
        </xdr:nvSpPr>
        <xdr:spPr>
          <a:xfrm>
            <a:off x="2553717" y="8448631"/>
            <a:ext cx="169958" cy="169958"/>
          </a:xfrm>
          <a:prstGeom prst="ellipse">
            <a:avLst/>
          </a:prstGeom>
          <a:solidFill>
            <a:srgbClr val="FFFF00">
              <a:alpha val="50196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</xdr:grpSp>
    <xdr:clientData/>
  </xdr:twoCellAnchor>
  <xdr:twoCellAnchor editAs="oneCell">
    <xdr:from>
      <xdr:col>3</xdr:col>
      <xdr:colOff>953965</xdr:colOff>
      <xdr:row>51</xdr:row>
      <xdr:rowOff>76560</xdr:rowOff>
    </xdr:from>
    <xdr:to>
      <xdr:col>7</xdr:col>
      <xdr:colOff>321588</xdr:colOff>
      <xdr:row>62</xdr:row>
      <xdr:rowOff>60960</xdr:rowOff>
    </xdr:to>
    <xdr:grpSp>
      <xdr:nvGrpSpPr>
        <xdr:cNvPr id="24" name="Group 23">
          <a:extLst>
            <a:ext uri="{FF2B5EF4-FFF2-40B4-BE49-F238E27FC236}">
              <a16:creationId xmlns:a16="http://schemas.microsoft.com/office/drawing/2014/main" id="{E3EBF17A-9223-79E0-3CB7-7831642524E5}"/>
            </a:ext>
          </a:extLst>
        </xdr:cNvPr>
        <xdr:cNvGrpSpPr/>
      </xdr:nvGrpSpPr>
      <xdr:grpSpPr>
        <a:xfrm>
          <a:off x="3922452" y="10287360"/>
          <a:ext cx="4058893" cy="2025235"/>
          <a:chOff x="3011058" y="9173219"/>
          <a:chExt cx="3940545" cy="2065791"/>
        </a:xfrm>
      </xdr:grpSpPr>
      <xdr:pic>
        <xdr:nvPicPr>
          <xdr:cNvPr id="14" name="Picture 13">
            <a:extLst>
              <a:ext uri="{FF2B5EF4-FFF2-40B4-BE49-F238E27FC236}">
                <a16:creationId xmlns:a16="http://schemas.microsoft.com/office/drawing/2014/main" id="{396A73A9-CD80-A109-0F8A-D30BFC16423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alphaModFix amt="50000"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3011058" y="9173219"/>
            <a:ext cx="3940545" cy="2065791"/>
          </a:xfrm>
          <a:prstGeom prst="rect">
            <a:avLst/>
          </a:prstGeom>
        </xdr:spPr>
      </xdr:pic>
      <xdr:sp macro="" textlink="">
        <xdr:nvSpPr>
          <xdr:cNvPr id="15" name="Arrow: Right 14">
            <a:extLst>
              <a:ext uri="{FF2B5EF4-FFF2-40B4-BE49-F238E27FC236}">
                <a16:creationId xmlns:a16="http://schemas.microsoft.com/office/drawing/2014/main" id="{810AFC95-85CA-460C-9BB1-0859B5AD82AB}"/>
              </a:ext>
            </a:extLst>
          </xdr:cNvPr>
          <xdr:cNvSpPr/>
        </xdr:nvSpPr>
        <xdr:spPr>
          <a:xfrm>
            <a:off x="4636002" y="10333189"/>
            <a:ext cx="1585550" cy="188425"/>
          </a:xfrm>
          <a:prstGeom prst="rightArrow">
            <a:avLst>
              <a:gd name="adj1" fmla="val 43407"/>
              <a:gd name="adj2" fmla="val 67506"/>
            </a:avLst>
          </a:prstGeom>
          <a:solidFill>
            <a:srgbClr val="FF0000"/>
          </a:solidFill>
          <a:ln w="28575">
            <a:solidFill>
              <a:schemeClr val="bg1"/>
            </a:solidFill>
          </a:ln>
          <a:effectLst>
            <a:outerShdw blurRad="63500" dist="127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E87DF63B-C368-4F07-827B-5141C7EDD78A}"/>
              </a:ext>
            </a:extLst>
          </xdr:cNvPr>
          <xdr:cNvSpPr txBox="1"/>
        </xdr:nvSpPr>
        <xdr:spPr>
          <a:xfrm>
            <a:off x="4972024" y="10486339"/>
            <a:ext cx="817247" cy="24885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pPr algn="ctr"/>
            <a:r>
              <a:rPr lang="en-GB" sz="1000" b="1">
                <a:solidFill>
                  <a:srgbClr val="FF0000"/>
                </a:solidFill>
                <a:effectLst>
                  <a:glow rad="50800">
                    <a:schemeClr val="bg1"/>
                  </a:glow>
                </a:effectLst>
              </a:rPr>
              <a:t>Click &amp; drag</a:t>
            </a:r>
          </a:p>
        </xdr:txBody>
      </xdr:sp>
      <xdr:sp macro="" textlink="">
        <xdr:nvSpPr>
          <xdr:cNvPr id="23" name="Oval 22">
            <a:extLst>
              <a:ext uri="{FF2B5EF4-FFF2-40B4-BE49-F238E27FC236}">
                <a16:creationId xmlns:a16="http://schemas.microsoft.com/office/drawing/2014/main" id="{D18A1999-6428-4BF9-8DD0-865B45A75312}"/>
              </a:ext>
            </a:extLst>
          </xdr:cNvPr>
          <xdr:cNvSpPr/>
        </xdr:nvSpPr>
        <xdr:spPr>
          <a:xfrm>
            <a:off x="4466044" y="10344415"/>
            <a:ext cx="169958" cy="169958"/>
          </a:xfrm>
          <a:prstGeom prst="ellipse">
            <a:avLst/>
          </a:prstGeom>
          <a:solidFill>
            <a:srgbClr val="FFFF00">
              <a:alpha val="50196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upport.microsoft.com/en-us/office/switch-between-relative-and-absolute-references-981f5871-7864-42cc-b3f0-41ffa10cc6f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EEAAA-6CA1-4C5C-B455-567F8BA0E38F}">
  <dimension ref="B8:V44"/>
  <sheetViews>
    <sheetView showGridLines="0" zoomScale="115" zoomScaleNormal="115" workbookViewId="0"/>
  </sheetViews>
  <sheetFormatPr defaultColWidth="9.109375" defaultRowHeight="14.4" x14ac:dyDescent="0.3"/>
  <cols>
    <col min="1" max="1" width="9.109375" style="40"/>
    <col min="2" max="2" width="16" style="40" bestFit="1" customWidth="1"/>
    <col min="3" max="3" width="20.33203125" style="40" customWidth="1"/>
    <col min="4" max="4" width="27.6640625" style="40" customWidth="1"/>
    <col min="5" max="16384" width="9.109375" style="40"/>
  </cols>
  <sheetData>
    <row r="8" spans="2:22" ht="21" x14ac:dyDescent="0.4">
      <c r="B8" s="48" t="s">
        <v>17</v>
      </c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</row>
    <row r="9" spans="2:22" ht="3" customHeight="1" x14ac:dyDescent="0.4"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</row>
    <row r="10" spans="2:22" ht="15" customHeight="1" x14ac:dyDescent="0.3"/>
    <row r="11" spans="2:22" ht="48" customHeight="1" x14ac:dyDescent="0.7">
      <c r="C11" s="41"/>
    </row>
    <row r="16" spans="2:22" ht="20.25" customHeight="1" thickBot="1" x14ac:dyDescent="0.35"/>
    <row r="17" spans="2:6" ht="16.8" thickTop="1" thickBot="1" x14ac:dyDescent="0.35">
      <c r="C17" s="36" t="s">
        <v>18</v>
      </c>
      <c r="D17" s="39"/>
    </row>
    <row r="18" spans="2:6" ht="15" thickTop="1" x14ac:dyDescent="0.3"/>
    <row r="20" spans="2:6" ht="18.600000000000001" thickBot="1" x14ac:dyDescent="0.45">
      <c r="B20" s="50" t="s">
        <v>94</v>
      </c>
      <c r="C20" s="52" t="s">
        <v>114</v>
      </c>
    </row>
    <row r="21" spans="2:6" ht="19.2" thickTop="1" thickBot="1" x14ac:dyDescent="0.45">
      <c r="B21" s="40">
        <v>0</v>
      </c>
      <c r="C21" s="36" t="s">
        <v>19</v>
      </c>
      <c r="D21" s="39"/>
      <c r="F21" s="37" t="s">
        <v>21</v>
      </c>
    </row>
    <row r="22" spans="2:6" ht="18.600000000000001" thickTop="1" x14ac:dyDescent="0.4">
      <c r="B22" s="40">
        <v>1</v>
      </c>
      <c r="C22" s="51" t="s">
        <v>95</v>
      </c>
      <c r="D22" s="53"/>
      <c r="F22" s="38" t="str">
        <f ca="1">IFERROR(_xlfn.FORMULATEXT(D22), "")</f>
        <v/>
      </c>
    </row>
    <row r="23" spans="2:6" ht="18" x14ac:dyDescent="0.4">
      <c r="B23" s="40">
        <v>2</v>
      </c>
      <c r="C23" s="51" t="s">
        <v>96</v>
      </c>
      <c r="D23" s="53"/>
      <c r="F23" s="38" t="str">
        <f t="shared" ref="F23:F41" ca="1" si="0">IFERROR(_xlfn.FORMULATEXT(D23), "")</f>
        <v/>
      </c>
    </row>
    <row r="24" spans="2:6" ht="18" x14ac:dyDescent="0.4">
      <c r="B24" s="40">
        <v>3</v>
      </c>
      <c r="C24" s="51" t="s">
        <v>97</v>
      </c>
      <c r="D24" s="53"/>
      <c r="F24" s="38" t="str">
        <f t="shared" ca="1" si="0"/>
        <v/>
      </c>
    </row>
    <row r="25" spans="2:6" ht="18" x14ac:dyDescent="0.4">
      <c r="B25" s="40">
        <v>4</v>
      </c>
      <c r="C25" s="51" t="s">
        <v>98</v>
      </c>
      <c r="D25" s="53"/>
      <c r="F25" s="38" t="str">
        <f t="shared" ca="1" si="0"/>
        <v/>
      </c>
    </row>
    <row r="26" spans="2:6" ht="18" x14ac:dyDescent="0.4">
      <c r="B26" s="40">
        <v>5</v>
      </c>
      <c r="C26" s="51" t="s">
        <v>99</v>
      </c>
      <c r="D26" s="53"/>
      <c r="F26" s="38" t="str">
        <f t="shared" ca="1" si="0"/>
        <v/>
      </c>
    </row>
    <row r="27" spans="2:6" ht="18" x14ac:dyDescent="0.4">
      <c r="B27" s="40">
        <v>6</v>
      </c>
      <c r="C27" s="51" t="s">
        <v>100</v>
      </c>
      <c r="D27" s="53"/>
      <c r="F27" s="38" t="str">
        <f t="shared" ca="1" si="0"/>
        <v/>
      </c>
    </row>
    <row r="28" spans="2:6" ht="18" x14ac:dyDescent="0.4">
      <c r="B28" s="40">
        <v>7</v>
      </c>
      <c r="C28" s="51" t="s">
        <v>101</v>
      </c>
      <c r="D28" s="53"/>
      <c r="F28" s="38" t="str">
        <f t="shared" ca="1" si="0"/>
        <v/>
      </c>
    </row>
    <row r="29" spans="2:6" ht="18" x14ac:dyDescent="0.4">
      <c r="B29" s="40">
        <v>8</v>
      </c>
      <c r="C29" s="51" t="s">
        <v>102</v>
      </c>
      <c r="D29" s="53"/>
      <c r="F29" s="38" t="str">
        <f t="shared" ca="1" si="0"/>
        <v/>
      </c>
    </row>
    <row r="30" spans="2:6" ht="18" x14ac:dyDescent="0.4">
      <c r="B30" s="40">
        <v>9</v>
      </c>
      <c r="C30" s="51" t="s">
        <v>103</v>
      </c>
      <c r="D30" s="53"/>
      <c r="F30" s="38" t="str">
        <f t="shared" ca="1" si="0"/>
        <v/>
      </c>
    </row>
    <row r="31" spans="2:6" ht="18" x14ac:dyDescent="0.4">
      <c r="B31" s="40">
        <v>10</v>
      </c>
      <c r="C31" s="51" t="s">
        <v>104</v>
      </c>
      <c r="D31" s="53"/>
      <c r="F31" s="38" t="str">
        <f t="shared" ca="1" si="0"/>
        <v/>
      </c>
    </row>
    <row r="32" spans="2:6" ht="18" x14ac:dyDescent="0.4">
      <c r="B32" s="40">
        <v>11</v>
      </c>
      <c r="C32" s="51" t="s">
        <v>105</v>
      </c>
      <c r="D32" s="53"/>
      <c r="F32" s="38" t="str">
        <f t="shared" ca="1" si="0"/>
        <v/>
      </c>
    </row>
    <row r="33" spans="2:6" ht="18" x14ac:dyDescent="0.4">
      <c r="B33" s="40">
        <v>12</v>
      </c>
      <c r="C33" s="51" t="s">
        <v>106</v>
      </c>
      <c r="D33" s="53"/>
      <c r="F33" s="38" t="str">
        <f t="shared" ca="1" si="0"/>
        <v/>
      </c>
    </row>
    <row r="34" spans="2:6" ht="18" x14ac:dyDescent="0.4">
      <c r="B34" s="40">
        <v>13</v>
      </c>
      <c r="C34" s="51" t="s">
        <v>107</v>
      </c>
      <c r="D34" s="53"/>
      <c r="F34" s="38" t="str">
        <f t="shared" ca="1" si="0"/>
        <v/>
      </c>
    </row>
    <row r="35" spans="2:6" ht="18" x14ac:dyDescent="0.4">
      <c r="B35" s="40">
        <v>14</v>
      </c>
      <c r="C35" s="51" t="s">
        <v>108</v>
      </c>
      <c r="D35" s="53"/>
      <c r="F35" s="38" t="str">
        <f t="shared" ca="1" si="0"/>
        <v/>
      </c>
    </row>
    <row r="36" spans="2:6" ht="18" x14ac:dyDescent="0.4">
      <c r="B36" s="40">
        <v>15</v>
      </c>
      <c r="C36" s="51" t="s">
        <v>109</v>
      </c>
      <c r="D36" s="53"/>
      <c r="F36" s="38" t="str">
        <f t="shared" ca="1" si="0"/>
        <v/>
      </c>
    </row>
    <row r="37" spans="2:6" ht="18" x14ac:dyDescent="0.4">
      <c r="B37" s="40">
        <v>16</v>
      </c>
      <c r="C37" s="51" t="s">
        <v>110</v>
      </c>
      <c r="D37" s="53"/>
      <c r="F37" s="38" t="str">
        <f t="shared" ca="1" si="0"/>
        <v/>
      </c>
    </row>
    <row r="38" spans="2:6" ht="18" x14ac:dyDescent="0.4">
      <c r="B38" s="40">
        <v>17</v>
      </c>
      <c r="C38" s="51" t="s">
        <v>111</v>
      </c>
      <c r="D38" s="53"/>
      <c r="F38" s="38" t="str">
        <f t="shared" ca="1" si="0"/>
        <v/>
      </c>
    </row>
    <row r="39" spans="2:6" ht="18" x14ac:dyDescent="0.4">
      <c r="B39" s="40">
        <v>18</v>
      </c>
      <c r="C39" s="51" t="s">
        <v>112</v>
      </c>
      <c r="D39" s="53"/>
      <c r="F39" s="38" t="str">
        <f t="shared" ca="1" si="0"/>
        <v/>
      </c>
    </row>
    <row r="40" spans="2:6" ht="18.600000000000001" thickBot="1" x14ac:dyDescent="0.45">
      <c r="B40" s="40">
        <v>19</v>
      </c>
      <c r="C40" s="51" t="s">
        <v>113</v>
      </c>
      <c r="D40" s="53"/>
      <c r="F40" s="38" t="str">
        <f t="shared" ca="1" si="0"/>
        <v/>
      </c>
    </row>
    <row r="41" spans="2:6" ht="19.2" thickTop="1" thickBot="1" x14ac:dyDescent="0.45">
      <c r="B41" s="40">
        <v>20</v>
      </c>
      <c r="C41" s="36" t="s">
        <v>20</v>
      </c>
      <c r="D41" s="54"/>
      <c r="F41" s="38" t="str">
        <f t="shared" ca="1" si="0"/>
        <v/>
      </c>
    </row>
    <row r="42" spans="2:6" ht="15" thickTop="1" x14ac:dyDescent="0.3"/>
    <row r="44" spans="2:6" ht="15.75" customHeight="1" x14ac:dyDescent="0.3"/>
  </sheetData>
  <sheetProtection sheet="1" formatColumns="0" formatRows="0" insertColumns="0" insertRows="0" insertHyperlinks="0" deleteColumns="0" deleteRows="0" sort="0" autoFilter="0" pivotTables="0"/>
  <protectedRanges>
    <protectedRange sqref="W10 B8:V10" name="UsedRange_26_1"/>
  </protectedRanges>
  <phoneticPr fontId="2" type="noConversion"/>
  <conditionalFormatting sqref="A8:V9 X8:XFD9">
    <cfRule type="cellIs" dxfId="64" priority="1" operator="equal">
      <formula>infoStr</formula>
    </cfRule>
    <cfRule type="cellIs" dxfId="63" priority="2" operator="equal">
      <formula>helpPlaceholderStr</formula>
    </cfRule>
    <cfRule type="cellIs" dxfId="62" priority="3" operator="equal">
      <formula>incorrectStr</formula>
    </cfRule>
    <cfRule type="cellIs" dxfId="61" priority="4" operator="equal">
      <formula>correctStr</formula>
    </cfRule>
    <cfRule type="cellIs" dxfId="60" priority="5" operator="equal">
      <formula>infoStr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0336C-5E24-4BC8-B836-F8514D20DF7E}">
  <dimension ref="A2:O171"/>
  <sheetViews>
    <sheetView showGridLines="0" tabSelected="1" topLeftCell="A44" zoomScale="115" zoomScaleNormal="115" workbookViewId="0"/>
  </sheetViews>
  <sheetFormatPr defaultColWidth="9.109375" defaultRowHeight="14.4" x14ac:dyDescent="0.3"/>
  <cols>
    <col min="1" max="1" width="9.109375" customWidth="1"/>
    <col min="2" max="9" width="17.109375" customWidth="1"/>
  </cols>
  <sheetData>
    <row r="2" spans="1:15" x14ac:dyDescent="0.3">
      <c r="A2" t="str">
        <f>" "</f>
        <v xml:space="preserve"> </v>
      </c>
    </row>
    <row r="9" spans="1:15" ht="21" x14ac:dyDescent="0.4">
      <c r="B9" s="55" t="s">
        <v>58</v>
      </c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</row>
    <row r="10" spans="1:15" ht="3" customHeight="1" x14ac:dyDescent="0.4">
      <c r="B10" s="56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</row>
    <row r="11" spans="1:15" ht="6.9" customHeight="1" x14ac:dyDescent="0.3"/>
    <row r="12" spans="1:15" x14ac:dyDescent="0.3">
      <c r="B12" t="s">
        <v>57</v>
      </c>
    </row>
    <row r="13" spans="1:15" ht="15" thickBot="1" x14ac:dyDescent="0.35"/>
    <row r="14" spans="1:15" x14ac:dyDescent="0.3">
      <c r="B14" s="57" t="str">
        <f>"Click in cell " &amp; ADDRESS(ROW($D$19), COLUMN($D$19), 4) &amp; " and type this formula:"</f>
        <v>Click in cell D19 and type this formula:</v>
      </c>
      <c r="C14" s="58"/>
      <c r="D14" s="58"/>
      <c r="E14" s="58"/>
      <c r="F14" s="58"/>
      <c r="G14" s="58"/>
      <c r="H14" s="58"/>
      <c r="I14" s="58"/>
      <c r="J14" s="59"/>
    </row>
    <row r="15" spans="1:15" ht="6.9" customHeight="1" x14ac:dyDescent="0.3">
      <c r="B15" s="6"/>
      <c r="C15" s="5"/>
      <c r="D15" s="5"/>
      <c r="E15" s="5"/>
      <c r="F15" s="5"/>
      <c r="G15" s="5"/>
      <c r="H15" s="5"/>
      <c r="I15" s="5"/>
      <c r="J15" s="4"/>
    </row>
    <row r="16" spans="1:15" ht="15" thickBot="1" x14ac:dyDescent="0.35">
      <c r="B16" s="60" t="str">
        <f>"=" &amp; ADDRESS(ROW($B$18), COLUMN($B$18), 4)</f>
        <v>=B18</v>
      </c>
      <c r="C16" s="61"/>
      <c r="D16" s="61"/>
      <c r="E16" s="61"/>
      <c r="F16" s="61"/>
      <c r="G16" s="61"/>
      <c r="H16" s="61"/>
      <c r="I16" s="61"/>
      <c r="J16" s="62"/>
    </row>
    <row r="17" spans="2:10" ht="15" thickBot="1" x14ac:dyDescent="0.35"/>
    <row r="18" spans="2:10" ht="15.6" thickTop="1" thickBot="1" x14ac:dyDescent="0.35">
      <c r="B18" s="7" t="s">
        <v>89</v>
      </c>
    </row>
    <row r="19" spans="2:10" ht="15.6" thickTop="1" thickBot="1" x14ac:dyDescent="0.35">
      <c r="B19" s="45" t="s">
        <v>90</v>
      </c>
      <c r="D19" s="3"/>
      <c r="E19" s="47" t="str">
        <f ca="1">"    " &amp; IFERROR(_xlfn.FORMULATEXT(D19), "")</f>
        <v xml:space="preserve">    </v>
      </c>
    </row>
    <row r="20" spans="2:10" ht="15" thickTop="1" x14ac:dyDescent="0.3">
      <c r="B20" s="46" t="s">
        <v>91</v>
      </c>
      <c r="D20" s="43"/>
      <c r="E20" s="47" t="str">
        <f t="shared" ref="E20:E21" ca="1" si="0">"    " &amp; IFERROR(_xlfn.FORMULATEXT(D20), "")</f>
        <v xml:space="preserve">    </v>
      </c>
    </row>
    <row r="21" spans="2:10" x14ac:dyDescent="0.3">
      <c r="D21" s="44"/>
      <c r="E21" s="47" t="str">
        <f t="shared" ca="1" si="0"/>
        <v xml:space="preserve">    </v>
      </c>
    </row>
    <row r="24" spans="2:10" x14ac:dyDescent="0.3">
      <c r="B24" t="str">
        <f>"Cell " &amp; ADDRESS(ROW($D$19), COLUMN($D$19), 4) &amp; " now references the value of cell " &amp; ADDRESS(ROW($B$18), COLUMN($B$18), 4) &amp; "."</f>
        <v>Cell D19 now references the value of cell B18.</v>
      </c>
    </row>
    <row r="25" spans="2:10" ht="6.9" customHeight="1" x14ac:dyDescent="0.3"/>
    <row r="26" spans="2:10" x14ac:dyDescent="0.3">
      <c r="B26" t="s">
        <v>92</v>
      </c>
    </row>
    <row r="27" spans="2:10" ht="15" thickBot="1" x14ac:dyDescent="0.35"/>
    <row r="28" spans="2:10" ht="15" thickBot="1" x14ac:dyDescent="0.35">
      <c r="B28" s="77" t="str">
        <f>"Try changing the contents of cell " &amp; ADDRESS(ROW($B$18), COLUMN($B$18), 4) &amp; ". Notice that cell " &amp; ADDRESS(ROW($D$19), COLUMN($D$19), 4) &amp; " updates to reflect the changes."</f>
        <v>Try changing the contents of cell B18. Notice that cell D19 updates to reflect the changes.</v>
      </c>
      <c r="C28" s="78"/>
      <c r="D28" s="78"/>
      <c r="E28" s="78"/>
      <c r="F28" s="78"/>
      <c r="G28" s="78"/>
      <c r="H28" s="78"/>
      <c r="I28" s="78"/>
      <c r="J28" s="79"/>
    </row>
    <row r="29" spans="2:10" ht="15" customHeight="1" thickBot="1" x14ac:dyDescent="0.35"/>
    <row r="30" spans="2:10" ht="15" thickBot="1" x14ac:dyDescent="0.35">
      <c r="B30" s="77" t="str">
        <f>"Copy (Ctrl + C) the entire cell " &amp; ADDRESS(ROW($D$19), COLUMN($D$19), 4) &amp; " to the clipboard, then paste (Ctrl + V) to cells " &amp; ADDRESS(ROW($D$20), COLUMN($D$20), 4) &amp; " and " &amp; ADDRESS(ROW($D$21), COLUMN($D$21), 4) &amp; ". Notice that the cell formula is different in the pasted cells."</f>
        <v>Copy (Ctrl + C) the entire cell D19 to the clipboard, then paste (Ctrl + V) to cells D20 and D21. Notice that the cell formula is different in the pasted cells.</v>
      </c>
      <c r="C30" s="78"/>
      <c r="D30" s="78"/>
      <c r="E30" s="78"/>
      <c r="F30" s="78"/>
      <c r="G30" s="78"/>
      <c r="H30" s="78"/>
      <c r="I30" s="78"/>
      <c r="J30" s="79"/>
    </row>
    <row r="31" spans="2:10" ht="15" customHeight="1" x14ac:dyDescent="0.3"/>
    <row r="32" spans="2:10" x14ac:dyDescent="0.3">
      <c r="B32" t="str">
        <f>"Cell " &amp; ADDRESS(ROW($B$18), COLUMN($B$18), 4) &amp; " is one cell above and two cells to the left of cell " &amp; ADDRESS(ROW($D$19), COLUMN($D$19), 4) &amp; ". The formula in cell " &amp; ADDRESS(ROW($D$19), COLUMN($D$19), 4) &amp; " is " &amp; """=" &amp; ADDRESS(ROW($B$18), COLUMN($B$18), 4) &amp; """."</f>
        <v>Cell B18 is one cell above and two cells to the left of cell D19. The formula in cell D19 is "=B18".</v>
      </c>
    </row>
    <row r="33" spans="2:10" ht="6.9" customHeight="1" x14ac:dyDescent="0.3"/>
    <row r="34" spans="2:10" x14ac:dyDescent="0.3">
      <c r="B34" s="80" t="str">
        <f>"The formula in cell " &amp; ADDRESS(ROW($D$19), COLUMN($D$19), 4) &amp; " is " &amp; """=" &amp; ADDRESS(ROW($B$18), COLUMN($B$18), 4) &amp; """. When we copied cell " &amp; ADDRESS(ROW($D$19), COLUMN($D$19), 4) &amp; " down to " &amp; ADDRESS(ROW($D$19) + 1, COLUMN($D$19), 4) &amp; ", the formula in " &amp; ADDRESS(ROW($D$19) + 1, COLUMN($D$19), 4) &amp; " was not ""=" &amp; ADDRESS(ROW($B$18), COLUMN($B$18), 4) &amp; """, but instead became ""=" &amp; ADDRESS(ROW($B$18) + 1, COLUMN($B$18), 4) &amp; """. The new formula continued to point to the address one cell above it and two cells to its left. This is known as a relative cell reference"</f>
        <v>The formula in cell D19 is "=B18". When we copied cell D19 down to D20, the formula in D20 was not "=B18", but instead became "=B19". The new formula continued to point to the address one cell above it and two cells to its left. This is known as a relative cell reference</v>
      </c>
      <c r="C34" s="80"/>
      <c r="D34" s="80"/>
      <c r="E34" s="80"/>
      <c r="F34" s="80"/>
      <c r="G34" s="80"/>
      <c r="H34" s="80"/>
      <c r="I34" s="80"/>
      <c r="J34" s="80"/>
    </row>
    <row r="35" spans="2:10" x14ac:dyDescent="0.3">
      <c r="B35" s="80"/>
      <c r="C35" s="80"/>
      <c r="D35" s="80"/>
      <c r="E35" s="80"/>
      <c r="F35" s="80"/>
      <c r="G35" s="80"/>
      <c r="H35" s="80"/>
      <c r="I35" s="80"/>
      <c r="J35" s="80"/>
    </row>
    <row r="36" spans="2:10" ht="6.9" customHeight="1" x14ac:dyDescent="0.3"/>
    <row r="37" spans="2:10" x14ac:dyDescent="0.3">
      <c r="B37" t="s">
        <v>93</v>
      </c>
    </row>
    <row r="38" spans="2:10" ht="15" thickBot="1" x14ac:dyDescent="0.35"/>
    <row r="39" spans="2:10" ht="15" thickBot="1" x14ac:dyDescent="0.35">
      <c r="B39" s="81" t="s">
        <v>70</v>
      </c>
      <c r="C39" s="82"/>
      <c r="D39" s="82"/>
      <c r="E39" s="82"/>
      <c r="F39" s="82"/>
      <c r="G39" s="82"/>
      <c r="H39" s="82"/>
      <c r="I39" s="82"/>
      <c r="J39" s="83"/>
    </row>
    <row r="42" spans="2:10" ht="15" thickBot="1" x14ac:dyDescent="0.35"/>
    <row r="43" spans="2:10" ht="30" customHeight="1" thickTop="1" x14ac:dyDescent="0.3">
      <c r="E43" s="8" t="s">
        <v>45</v>
      </c>
      <c r="F43" s="9" t="s">
        <v>43</v>
      </c>
      <c r="G43" s="10" t="s">
        <v>44</v>
      </c>
    </row>
    <row r="44" spans="2:10" ht="30" customHeight="1" x14ac:dyDescent="0.3">
      <c r="E44" s="11" t="s">
        <v>42</v>
      </c>
      <c r="F44" s="12" t="s">
        <v>46</v>
      </c>
      <c r="G44" s="13" t="s">
        <v>47</v>
      </c>
    </row>
    <row r="45" spans="2:10" ht="30" customHeight="1" thickBot="1" x14ac:dyDescent="0.35">
      <c r="E45" s="14" t="s">
        <v>49</v>
      </c>
      <c r="F45" s="15" t="s">
        <v>48</v>
      </c>
      <c r="G45" s="16" t="s">
        <v>50</v>
      </c>
    </row>
    <row r="46" spans="2:10" ht="15" thickTop="1" x14ac:dyDescent="0.3"/>
    <row r="48" spans="2:10" ht="15" thickBot="1" x14ac:dyDescent="0.35"/>
    <row r="49" spans="2:15" ht="30" customHeight="1" thickTop="1" thickBot="1" x14ac:dyDescent="0.35">
      <c r="E49" s="3"/>
      <c r="F49" s="28"/>
      <c r="G49" s="29"/>
    </row>
    <row r="50" spans="2:15" ht="30" customHeight="1" thickTop="1" x14ac:dyDescent="0.3">
      <c r="E50" s="30"/>
      <c r="F50" s="31"/>
      <c r="G50" s="32"/>
    </row>
    <row r="51" spans="2:15" ht="30" customHeight="1" x14ac:dyDescent="0.3">
      <c r="E51" s="33"/>
      <c r="F51" s="34"/>
      <c r="G51" s="35"/>
    </row>
    <row r="64" spans="2:15" ht="21" x14ac:dyDescent="0.4">
      <c r="B64" s="55" t="s">
        <v>59</v>
      </c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</row>
    <row r="65" spans="2:15" ht="3" customHeight="1" x14ac:dyDescent="0.4">
      <c r="B65" s="56"/>
      <c r="C65" s="56"/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</row>
    <row r="66" spans="2:15" ht="6.9" customHeight="1" x14ac:dyDescent="0.3"/>
    <row r="67" spans="2:15" x14ac:dyDescent="0.3">
      <c r="B67" t="s">
        <v>60</v>
      </c>
    </row>
    <row r="68" spans="2:15" ht="6.9" customHeight="1" x14ac:dyDescent="0.3"/>
    <row r="69" spans="2:15" x14ac:dyDescent="0.3">
      <c r="B69" t="s">
        <v>63</v>
      </c>
    </row>
    <row r="71" spans="2:15" ht="28.8" x14ac:dyDescent="0.3">
      <c r="B71" s="17" t="s">
        <v>51</v>
      </c>
      <c r="C71" s="18" t="s">
        <v>55</v>
      </c>
      <c r="E71" s="19" t="s">
        <v>64</v>
      </c>
    </row>
    <row r="72" spans="2:15" ht="28.8" x14ac:dyDescent="0.3">
      <c r="B72" s="17" t="s">
        <v>53</v>
      </c>
      <c r="C72" s="20" t="s">
        <v>66</v>
      </c>
      <c r="E72" s="19" t="s">
        <v>68</v>
      </c>
    </row>
    <row r="73" spans="2:15" ht="28.8" x14ac:dyDescent="0.3">
      <c r="B73" s="17" t="s">
        <v>54</v>
      </c>
      <c r="C73" s="20" t="s">
        <v>67</v>
      </c>
      <c r="E73" s="19" t="s">
        <v>69</v>
      </c>
    </row>
    <row r="74" spans="2:15" ht="28.8" x14ac:dyDescent="0.3">
      <c r="B74" s="17" t="s">
        <v>52</v>
      </c>
      <c r="C74" s="20" t="s">
        <v>56</v>
      </c>
      <c r="E74" s="21" t="s">
        <v>65</v>
      </c>
    </row>
    <row r="77" spans="2:15" ht="15" thickBot="1" x14ac:dyDescent="0.35"/>
    <row r="78" spans="2:15" x14ac:dyDescent="0.3">
      <c r="B78" s="57" t="s">
        <v>71</v>
      </c>
      <c r="C78" s="58"/>
      <c r="D78" s="58"/>
      <c r="E78" s="58"/>
      <c r="F78" s="58"/>
      <c r="G78" s="58"/>
      <c r="H78" s="58"/>
      <c r="I78" s="58"/>
      <c r="J78" s="59"/>
    </row>
    <row r="79" spans="2:15" ht="6.9" customHeight="1" x14ac:dyDescent="0.3">
      <c r="B79" s="63"/>
      <c r="C79" s="64"/>
      <c r="D79" s="64"/>
      <c r="E79" s="64"/>
      <c r="F79" s="64"/>
      <c r="G79" s="64"/>
      <c r="H79" s="64"/>
      <c r="I79" s="64"/>
      <c r="J79" s="65"/>
    </row>
    <row r="80" spans="2:15" ht="15" customHeight="1" x14ac:dyDescent="0.3">
      <c r="B80" s="63" t="str">
        <f>"For example, in cell " &amp; ADDRESS(ROW($B$87), COLUMN($B$87), 4) &amp; ", enter the formula """ &amp; $B$84 &amp; """ and copy that formula to the other 8 cells in the grid."</f>
        <v>For example, in cell B87, enter the formula "=E43" and copy that formula to the other 8 cells in the grid.</v>
      </c>
      <c r="C80" s="64"/>
      <c r="D80" s="64"/>
      <c r="E80" s="64"/>
      <c r="F80" s="64"/>
      <c r="G80" s="64"/>
      <c r="H80" s="64"/>
      <c r="I80" s="64"/>
      <c r="J80" s="65"/>
    </row>
    <row r="81" spans="2:10" ht="6.9" customHeight="1" x14ac:dyDescent="0.3">
      <c r="B81" s="63"/>
      <c r="C81" s="64"/>
      <c r="D81" s="64"/>
      <c r="E81" s="64"/>
      <c r="F81" s="64"/>
      <c r="G81" s="64"/>
      <c r="H81" s="64"/>
      <c r="I81" s="64"/>
      <c r="J81" s="65"/>
    </row>
    <row r="82" spans="2:10" ht="15" thickBot="1" x14ac:dyDescent="0.35">
      <c r="B82" s="60" t="s">
        <v>74</v>
      </c>
      <c r="C82" s="61"/>
      <c r="D82" s="61"/>
      <c r="E82" s="61"/>
      <c r="F82" s="61"/>
      <c r="G82" s="61"/>
      <c r="H82" s="61"/>
      <c r="I82" s="61"/>
      <c r="J82" s="62"/>
    </row>
    <row r="84" spans="2:10" ht="28.8" x14ac:dyDescent="0.55000000000000004">
      <c r="B84" s="22" t="str">
        <f>"=" &amp; ADDRESS(ROW($E$43), COLUMN($E$43), 4)</f>
        <v>=E43</v>
      </c>
      <c r="F84" s="22" t="str">
        <f>"=" &amp; ADDRESS(ROW($E$43), COLUMN($E$43), 3)</f>
        <v>=$E43</v>
      </c>
    </row>
    <row r="85" spans="2:10" x14ac:dyDescent="0.3">
      <c r="B85" t="s">
        <v>55</v>
      </c>
      <c r="F85" t="s">
        <v>72</v>
      </c>
    </row>
    <row r="86" spans="2:10" ht="6.9" customHeight="1" thickBot="1" x14ac:dyDescent="0.35"/>
    <row r="87" spans="2:10" ht="15.6" thickTop="1" thickBot="1" x14ac:dyDescent="0.35">
      <c r="B87" s="3"/>
      <c r="C87" s="28"/>
      <c r="D87" s="29"/>
      <c r="F87" s="3"/>
      <c r="G87" s="28"/>
      <c r="H87" s="29"/>
    </row>
    <row r="88" spans="2:10" ht="15" thickTop="1" x14ac:dyDescent="0.3">
      <c r="B88" s="30"/>
      <c r="C88" s="31"/>
      <c r="D88" s="32"/>
      <c r="F88" s="30"/>
      <c r="G88" s="31"/>
      <c r="H88" s="32"/>
    </row>
    <row r="89" spans="2:10" x14ac:dyDescent="0.3">
      <c r="B89" s="33"/>
      <c r="C89" s="34"/>
      <c r="D89" s="35"/>
      <c r="F89" s="33"/>
      <c r="G89" s="34"/>
      <c r="H89" s="35"/>
    </row>
    <row r="92" spans="2:10" ht="28.8" x14ac:dyDescent="0.55000000000000004">
      <c r="B92" s="22" t="str">
        <f>"=" &amp; ADDRESS(ROW($E$43), COLUMN($E$43), 2)</f>
        <v>=E$43</v>
      </c>
      <c r="F92" s="22" t="str">
        <f>"=" &amp; ADDRESS(ROW($E$43), COLUMN($E$43), 1)</f>
        <v>=$E$43</v>
      </c>
    </row>
    <row r="93" spans="2:10" x14ac:dyDescent="0.3">
      <c r="B93" t="s">
        <v>73</v>
      </c>
      <c r="F93" s="2" t="s">
        <v>56</v>
      </c>
    </row>
    <row r="94" spans="2:10" ht="6.9" customHeight="1" thickBot="1" x14ac:dyDescent="0.35"/>
    <row r="95" spans="2:10" ht="15.6" thickTop="1" thickBot="1" x14ac:dyDescent="0.35">
      <c r="B95" s="3"/>
      <c r="C95" s="28"/>
      <c r="D95" s="29"/>
      <c r="F95" s="3"/>
      <c r="G95" s="28"/>
      <c r="H95" s="29"/>
    </row>
    <row r="96" spans="2:10" ht="15" thickTop="1" x14ac:dyDescent="0.3">
      <c r="B96" s="30"/>
      <c r="C96" s="31"/>
      <c r="D96" s="32"/>
      <c r="F96" s="30"/>
      <c r="G96" s="31"/>
      <c r="H96" s="32"/>
    </row>
    <row r="97" spans="2:15" x14ac:dyDescent="0.3">
      <c r="B97" s="33"/>
      <c r="C97" s="34"/>
      <c r="D97" s="35"/>
      <c r="F97" s="33"/>
      <c r="G97" s="34"/>
      <c r="H97" s="35"/>
    </row>
    <row r="102" spans="2:15" ht="21" x14ac:dyDescent="0.4">
      <c r="B102" s="55" t="s">
        <v>61</v>
      </c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</row>
    <row r="103" spans="2:15" ht="3" customHeight="1" x14ac:dyDescent="0.4">
      <c r="B103" s="56"/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</row>
    <row r="104" spans="2:15" ht="6.9" customHeight="1" x14ac:dyDescent="0.3"/>
    <row r="105" spans="2:15" x14ac:dyDescent="0.3">
      <c r="B105" s="23" t="s">
        <v>62</v>
      </c>
    </row>
    <row r="109" spans="2:15" ht="21" x14ac:dyDescent="0.4">
      <c r="B109" s="55" t="s">
        <v>75</v>
      </c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</row>
    <row r="110" spans="2:15" ht="3" customHeight="1" x14ac:dyDescent="0.4">
      <c r="B110" s="56"/>
      <c r="C110" s="56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</row>
    <row r="111" spans="2:15" ht="6.9" customHeight="1" x14ac:dyDescent="0.3"/>
    <row r="112" spans="2:15" x14ac:dyDescent="0.3">
      <c r="B112" t="s">
        <v>76</v>
      </c>
    </row>
    <row r="115" spans="2:6" x14ac:dyDescent="0.3">
      <c r="B115" s="24" t="s">
        <v>78</v>
      </c>
    </row>
    <row r="116" spans="2:6" ht="6.9" customHeight="1" thickBot="1" x14ac:dyDescent="0.35"/>
    <row r="117" spans="2:6" ht="15" thickBot="1" x14ac:dyDescent="0.35">
      <c r="B117" s="68" t="s">
        <v>77</v>
      </c>
      <c r="C117" s="69"/>
      <c r="D117" s="69"/>
      <c r="E117" s="69"/>
      <c r="F117" s="70"/>
    </row>
    <row r="118" spans="2:6" ht="6.9" customHeight="1" x14ac:dyDescent="0.3"/>
    <row r="119" spans="2:6" x14ac:dyDescent="0.3">
      <c r="B119" s="71" t="s">
        <v>39</v>
      </c>
      <c r="C119" s="72"/>
      <c r="D119" s="25" t="s">
        <v>40</v>
      </c>
    </row>
    <row r="120" spans="2:6" x14ac:dyDescent="0.3">
      <c r="B120" s="73" t="str">
        <f ca="1">_xlfn.FORMULATEXT(D120)</f>
        <v>=1 + 1</v>
      </c>
      <c r="C120" s="74"/>
      <c r="D120" s="26">
        <f>1 + 1</f>
        <v>2</v>
      </c>
    </row>
    <row r="121" spans="2:6" x14ac:dyDescent="0.3">
      <c r="B121" s="75" t="str">
        <f ca="1">_xlfn.FORMULATEXT(D121)</f>
        <v>=1 + 2 + 3 + 4</v>
      </c>
      <c r="C121" s="76"/>
      <c r="D121" s="26">
        <f>1 + 2 + 3 + 4</f>
        <v>10</v>
      </c>
    </row>
    <row r="122" spans="2:6" x14ac:dyDescent="0.3">
      <c r="B122" s="75" t="str">
        <f ca="1">_xlfn.FORMULATEXT(D122)</f>
        <v>=1 + 0.57</v>
      </c>
      <c r="C122" s="76"/>
      <c r="D122" s="26">
        <f>1 + 0.57</f>
        <v>1.5699999999999998</v>
      </c>
    </row>
    <row r="123" spans="2:6" x14ac:dyDescent="0.3">
      <c r="B123" s="75" t="str">
        <f ca="1">_xlfn.FORMULATEXT(D123)</f>
        <v>=D122 + 0.002</v>
      </c>
      <c r="C123" s="76"/>
      <c r="D123" s="26">
        <f>D122 + 0.002</f>
        <v>1.5719999999999998</v>
      </c>
    </row>
    <row r="124" spans="2:6" x14ac:dyDescent="0.3">
      <c r="B124" s="66" t="str">
        <f ca="1">_xlfn.FORMULATEXT(D124)</f>
        <v>=D122 + D123</v>
      </c>
      <c r="C124" s="67"/>
      <c r="D124" s="27">
        <f>D122 + D123</f>
        <v>3.1419999999999995</v>
      </c>
    </row>
    <row r="127" spans="2:6" x14ac:dyDescent="0.3">
      <c r="B127" s="2" t="s">
        <v>79</v>
      </c>
    </row>
    <row r="128" spans="2:6" ht="6.9" customHeight="1" thickBot="1" x14ac:dyDescent="0.35"/>
    <row r="129" spans="2:6" ht="15" thickBot="1" x14ac:dyDescent="0.35">
      <c r="B129" s="68" t="s">
        <v>80</v>
      </c>
      <c r="C129" s="69"/>
      <c r="D129" s="69"/>
      <c r="E129" s="69"/>
      <c r="F129" s="70"/>
    </row>
    <row r="130" spans="2:6" ht="6.9" customHeight="1" thickBot="1" x14ac:dyDescent="0.35"/>
    <row r="131" spans="2:6" ht="15" thickBot="1" x14ac:dyDescent="0.35">
      <c r="B131" s="68" t="s">
        <v>81</v>
      </c>
      <c r="C131" s="69"/>
      <c r="D131" s="69"/>
      <c r="E131" s="69"/>
      <c r="F131" s="70"/>
    </row>
    <row r="132" spans="2:6" ht="6.9" customHeight="1" x14ac:dyDescent="0.3"/>
    <row r="133" spans="2:6" x14ac:dyDescent="0.3">
      <c r="B133" s="71" t="s">
        <v>39</v>
      </c>
      <c r="C133" s="72"/>
      <c r="D133" s="25" t="s">
        <v>40</v>
      </c>
    </row>
    <row r="134" spans="2:6" x14ac:dyDescent="0.3">
      <c r="B134" s="73" t="str">
        <f ca="1">_xlfn.FORMULATEXT(D134)</f>
        <v>=5 - 3</v>
      </c>
      <c r="C134" s="74"/>
      <c r="D134" s="26">
        <f>5 - 3</f>
        <v>2</v>
      </c>
    </row>
    <row r="135" spans="2:6" x14ac:dyDescent="0.3">
      <c r="B135" s="75" t="str">
        <f ca="1">_xlfn.FORMULATEXT(D135)</f>
        <v>=10 - 5 - 3 - 2</v>
      </c>
      <c r="C135" s="76"/>
      <c r="D135" s="26">
        <f>10 - 5 - 3 - 2</f>
        <v>0</v>
      </c>
    </row>
    <row r="136" spans="2:6" x14ac:dyDescent="0.3">
      <c r="B136" s="75" t="str">
        <f ca="1">_xlfn.FORMULATEXT(D136)</f>
        <v>=10 - D134</v>
      </c>
      <c r="C136" s="76"/>
      <c r="D136" s="26">
        <f>10 - D134</f>
        <v>8</v>
      </c>
    </row>
    <row r="137" spans="2:6" x14ac:dyDescent="0.3">
      <c r="B137" s="75" t="str">
        <f ca="1">_xlfn.FORMULATEXT(D137)</f>
        <v>=-100</v>
      </c>
      <c r="C137" s="76"/>
      <c r="D137" s="26">
        <f>-100</f>
        <v>-100</v>
      </c>
    </row>
    <row r="138" spans="2:6" x14ac:dyDescent="0.3">
      <c r="B138" s="66" t="str">
        <f ca="1">_xlfn.FORMULATEXT(D138)</f>
        <v>=-D137</v>
      </c>
      <c r="C138" s="67"/>
      <c r="D138" s="27">
        <f>-D137</f>
        <v>100</v>
      </c>
    </row>
    <row r="141" spans="2:6" x14ac:dyDescent="0.3">
      <c r="B141" s="2" t="s">
        <v>82</v>
      </c>
    </row>
    <row r="142" spans="2:6" ht="6.9" customHeight="1" thickBot="1" x14ac:dyDescent="0.35"/>
    <row r="143" spans="2:6" ht="15" thickBot="1" x14ac:dyDescent="0.35">
      <c r="B143" s="68" t="s">
        <v>84</v>
      </c>
      <c r="C143" s="69"/>
      <c r="D143" s="69"/>
      <c r="E143" s="69"/>
      <c r="F143" s="70"/>
    </row>
    <row r="144" spans="2:6" ht="6.9" customHeight="1" x14ac:dyDescent="0.3"/>
    <row r="145" spans="2:6" x14ac:dyDescent="0.3">
      <c r="B145" s="71" t="s">
        <v>39</v>
      </c>
      <c r="C145" s="72"/>
      <c r="D145" s="25" t="s">
        <v>40</v>
      </c>
    </row>
    <row r="146" spans="2:6" x14ac:dyDescent="0.3">
      <c r="B146" s="73" t="str">
        <f ca="1">_xlfn.FORMULATEXT(D146)</f>
        <v>=5 * 7</v>
      </c>
      <c r="C146" s="74"/>
      <c r="D146" s="26">
        <f>5 * 7</f>
        <v>35</v>
      </c>
    </row>
    <row r="147" spans="2:6" x14ac:dyDescent="0.3">
      <c r="B147" s="75" t="str">
        <f ca="1">_xlfn.FORMULATEXT(D147)</f>
        <v>=2 * 3 * 4 * 5</v>
      </c>
      <c r="C147" s="76"/>
      <c r="D147" s="26">
        <f>2 * 3 * 4 * 5</f>
        <v>120</v>
      </c>
    </row>
    <row r="148" spans="2:6" x14ac:dyDescent="0.3">
      <c r="B148" s="75" t="str">
        <f ca="1">_xlfn.FORMULATEXT(D148)</f>
        <v>=D147 * 0.5</v>
      </c>
      <c r="C148" s="76"/>
      <c r="D148" s="26">
        <f>D147 * 0.5</f>
        <v>60</v>
      </c>
    </row>
    <row r="149" spans="2:6" x14ac:dyDescent="0.3">
      <c r="B149" s="66" t="str">
        <f ca="1">_xlfn.FORMULATEXT(D149)</f>
        <v>=D148 * D148</v>
      </c>
      <c r="C149" s="67"/>
      <c r="D149" s="27">
        <f>D148 * D148</f>
        <v>3600</v>
      </c>
    </row>
    <row r="152" spans="2:6" x14ac:dyDescent="0.3">
      <c r="B152" s="2" t="s">
        <v>83</v>
      </c>
    </row>
    <row r="153" spans="2:6" ht="6.9" customHeight="1" thickBot="1" x14ac:dyDescent="0.35"/>
    <row r="154" spans="2:6" ht="15" thickBot="1" x14ac:dyDescent="0.35">
      <c r="B154" s="68" t="s">
        <v>85</v>
      </c>
      <c r="C154" s="69"/>
      <c r="D154" s="69"/>
      <c r="E154" s="69"/>
      <c r="F154" s="70"/>
    </row>
    <row r="155" spans="2:6" ht="6.9" customHeight="1" x14ac:dyDescent="0.3"/>
    <row r="156" spans="2:6" x14ac:dyDescent="0.3">
      <c r="B156" s="71" t="s">
        <v>39</v>
      </c>
      <c r="C156" s="72"/>
      <c r="D156" s="25" t="s">
        <v>40</v>
      </c>
    </row>
    <row r="157" spans="2:6" x14ac:dyDescent="0.3">
      <c r="B157" s="73" t="str">
        <f ca="1">_xlfn.FORMULATEXT(D157)</f>
        <v>=6 / 3</v>
      </c>
      <c r="C157" s="74"/>
      <c r="D157" s="26">
        <f>6 / 3</f>
        <v>2</v>
      </c>
    </row>
    <row r="158" spans="2:6" x14ac:dyDescent="0.3">
      <c r="B158" s="75" t="str">
        <f ca="1">_xlfn.FORMULATEXT(D158)</f>
        <v>=1 / 100</v>
      </c>
      <c r="C158" s="76"/>
      <c r="D158" s="26">
        <f>1 / 100</f>
        <v>0.01</v>
      </c>
    </row>
    <row r="159" spans="2:6" x14ac:dyDescent="0.3">
      <c r="B159" s="75" t="str">
        <f ca="1">_xlfn.FORMULATEXT(D159)</f>
        <v>=D157 / D158</v>
      </c>
      <c r="C159" s="76"/>
      <c r="D159" s="26">
        <f>D157 / D158</f>
        <v>200</v>
      </c>
    </row>
    <row r="160" spans="2:6" x14ac:dyDescent="0.3">
      <c r="B160" s="66" t="str">
        <f ca="1">_xlfn.FORMULATEXT(D160)</f>
        <v>=16 / 2 / 2 / 2 / 2</v>
      </c>
      <c r="C160" s="67"/>
      <c r="D160" s="27">
        <f>16 / 2 / 2 / 2 / 2</f>
        <v>1</v>
      </c>
    </row>
    <row r="163" spans="2:6" x14ac:dyDescent="0.3">
      <c r="B163" s="2" t="s">
        <v>86</v>
      </c>
    </row>
    <row r="164" spans="2:6" ht="6.9" customHeight="1" thickBot="1" x14ac:dyDescent="0.35"/>
    <row r="165" spans="2:6" ht="15" thickBot="1" x14ac:dyDescent="0.35">
      <c r="B165" s="68" t="s">
        <v>87</v>
      </c>
      <c r="C165" s="69"/>
      <c r="D165" s="69"/>
      <c r="E165" s="69"/>
      <c r="F165" s="70"/>
    </row>
    <row r="166" spans="2:6" ht="6.9" customHeight="1" x14ac:dyDescent="0.3"/>
    <row r="167" spans="2:6" x14ac:dyDescent="0.3">
      <c r="B167" s="71" t="s">
        <v>39</v>
      </c>
      <c r="C167" s="72"/>
      <c r="D167" s="25" t="s">
        <v>40</v>
      </c>
    </row>
    <row r="168" spans="2:6" x14ac:dyDescent="0.3">
      <c r="B168" s="73" t="str">
        <f ca="1">_xlfn.FORMULATEXT(D168)</f>
        <v>=4 + 2 / 2 - 4 * 3</v>
      </c>
      <c r="C168" s="74"/>
      <c r="D168" s="26">
        <f>4 + 2 / 2 - 4 * 3</f>
        <v>-7</v>
      </c>
    </row>
    <row r="169" spans="2:6" x14ac:dyDescent="0.3">
      <c r="B169" s="75" t="str">
        <f ca="1">_xlfn.FORMULATEXT(D169)</f>
        <v>=(4 + 2) / 2 - 4 * 3</v>
      </c>
      <c r="C169" s="76"/>
      <c r="D169" s="26">
        <f>(4 + 2) / 2 - 4 * 3</f>
        <v>-9</v>
      </c>
    </row>
    <row r="170" spans="2:6" x14ac:dyDescent="0.3">
      <c r="B170" s="75" t="str">
        <f ca="1">_xlfn.FORMULATEXT(D170)</f>
        <v>=4 + (2 / 2 - 4) * 3</v>
      </c>
      <c r="C170" s="76"/>
      <c r="D170" s="26">
        <f>4 + (2 / 2 - 4) * 3</f>
        <v>-5</v>
      </c>
    </row>
    <row r="171" spans="2:6" x14ac:dyDescent="0.3">
      <c r="B171" s="66" t="str">
        <f ca="1">_xlfn.FORMULATEXT(D171)</f>
        <v>=4 + 2 / (2 - 4) * 3</v>
      </c>
      <c r="C171" s="67"/>
      <c r="D171" s="27">
        <f>4 + 2 / (2 - 4) * 3</f>
        <v>1</v>
      </c>
    </row>
  </sheetData>
  <sheetProtection sheet="1" formatColumns="0" formatRows="0" insertColumns="0" insertRows="0" insertHyperlinks="0" deleteColumns="0" deleteRows="0" sort="0" autoFilter="0" pivotTables="0"/>
  <protectedRanges>
    <protectedRange sqref="A117:G117 D42:H48 A129:G129 A143:G143 A154:G154 A165:G165 D50:H53 D49 F49:H49 D55:H56 D54 F54:H54 C57:H57 E95:E97 B88:D89 C87:D87 B96:D97 C95:D95 J84:J97 G87:H87 F96:H97 G95:H95 D58:H60 B84:H86 F88:H94 C68:C77 C61:H63 C41:H41 C83 A131:G131 E83:J83 C98:J99 J58:J63 B90:E94 E87:E89 A100:O116 A2:O17 A130:O130 K83:O99 K41:O63 A166:O172 A155:O161 A144:O153 A118:O128 A132:O142 I117:O117 I131:O131 E68:O77 A163:O164 I165:O165 I129:O129 I143:O143 I154:O154 A64:O67 A78:O82 I41:I63 A18:C24 D20:D24 E18:O24 A34:O40 A32:O33 A25:O29 A30:O32" name="UsedRange_26_1"/>
    <protectedRange sqref="H129 H117 H154 H143 H131 H165" name="UsedRange_27_6"/>
  </protectedRanges>
  <mergeCells count="52">
    <mergeCell ref="B122:C122"/>
    <mergeCell ref="B30:J30"/>
    <mergeCell ref="B121:C121"/>
    <mergeCell ref="B9:O9"/>
    <mergeCell ref="B10:O10"/>
    <mergeCell ref="B109:O109"/>
    <mergeCell ref="B110:O110"/>
    <mergeCell ref="B117:F117"/>
    <mergeCell ref="B119:C119"/>
    <mergeCell ref="B14:J14"/>
    <mergeCell ref="B16:J16"/>
    <mergeCell ref="B28:J28"/>
    <mergeCell ref="B34:J35"/>
    <mergeCell ref="B80:J80"/>
    <mergeCell ref="B120:C120"/>
    <mergeCell ref="B39:J39"/>
    <mergeCell ref="B123:C123"/>
    <mergeCell ref="B124:C124"/>
    <mergeCell ref="B129:F129"/>
    <mergeCell ref="B134:C134"/>
    <mergeCell ref="B136:C136"/>
    <mergeCell ref="B133:C133"/>
    <mergeCell ref="B131:F131"/>
    <mergeCell ref="B137:C137"/>
    <mergeCell ref="B138:C138"/>
    <mergeCell ref="B143:F143"/>
    <mergeCell ref="B135:C135"/>
    <mergeCell ref="B145:C145"/>
    <mergeCell ref="B146:C146"/>
    <mergeCell ref="B147:C147"/>
    <mergeCell ref="B148:C148"/>
    <mergeCell ref="B149:C149"/>
    <mergeCell ref="B170:C170"/>
    <mergeCell ref="B171:C171"/>
    <mergeCell ref="B154:F154"/>
    <mergeCell ref="B156:C156"/>
    <mergeCell ref="B157:C157"/>
    <mergeCell ref="B158:C158"/>
    <mergeCell ref="B159:C159"/>
    <mergeCell ref="B160:C160"/>
    <mergeCell ref="B165:F165"/>
    <mergeCell ref="B167:C167"/>
    <mergeCell ref="B168:C168"/>
    <mergeCell ref="B169:C169"/>
    <mergeCell ref="B64:O64"/>
    <mergeCell ref="B65:O65"/>
    <mergeCell ref="B102:O102"/>
    <mergeCell ref="B103:O103"/>
    <mergeCell ref="B78:J78"/>
    <mergeCell ref="B82:J82"/>
    <mergeCell ref="B79:J79"/>
    <mergeCell ref="B81:J81"/>
  </mergeCells>
  <conditionalFormatting sqref="A121:B124">
    <cfRule type="cellIs" dxfId="59" priority="23" operator="equal">
      <formula>infoStr</formula>
    </cfRule>
    <cfRule type="cellIs" dxfId="58" priority="27" operator="equal">
      <formula>infoStr</formula>
    </cfRule>
    <cfRule type="cellIs" dxfId="57" priority="26" operator="equal">
      <formula>correctStr</formula>
    </cfRule>
    <cfRule type="cellIs" dxfId="56" priority="25" operator="equal">
      <formula>incorrectStr</formula>
    </cfRule>
    <cfRule type="cellIs" dxfId="55" priority="24" operator="equal">
      <formula>helpPlaceholderStr</formula>
    </cfRule>
  </conditionalFormatting>
  <conditionalFormatting sqref="A135:B138">
    <cfRule type="cellIs" dxfId="54" priority="29" operator="equal">
      <formula>helpPlaceholderStr</formula>
    </cfRule>
    <cfRule type="cellIs" dxfId="53" priority="28" operator="equal">
      <formula>infoStr</formula>
    </cfRule>
    <cfRule type="cellIs" dxfId="52" priority="32" operator="equal">
      <formula>infoStr</formula>
    </cfRule>
    <cfRule type="cellIs" dxfId="51" priority="31" operator="equal">
      <formula>correctStr</formula>
    </cfRule>
    <cfRule type="cellIs" dxfId="50" priority="30" operator="equal">
      <formula>incorrectStr</formula>
    </cfRule>
  </conditionalFormatting>
  <conditionalFormatting sqref="A169:B171 D169:G171">
    <cfRule type="cellIs" dxfId="49" priority="17" operator="equal">
      <formula>infoStr</formula>
    </cfRule>
    <cfRule type="cellIs" dxfId="48" priority="13" operator="equal">
      <formula>infoStr</formula>
    </cfRule>
    <cfRule type="cellIs" dxfId="47" priority="14" operator="equal">
      <formula>helpPlaceholderStr</formula>
    </cfRule>
    <cfRule type="cellIs" dxfId="46" priority="15" operator="equal">
      <formula>incorrectStr</formula>
    </cfRule>
    <cfRule type="cellIs" dxfId="45" priority="16" operator="equal">
      <formula>correctStr</formula>
    </cfRule>
  </conditionalFormatting>
  <conditionalFormatting sqref="A115:F116 A119:F120 D121:F122">
    <cfRule type="cellIs" dxfId="44" priority="110" operator="equal">
      <formula>infoStr</formula>
    </cfRule>
    <cfRule type="cellIs" dxfId="43" priority="109" operator="equal">
      <formula>correctStr</formula>
    </cfRule>
    <cfRule type="cellIs" dxfId="42" priority="107" operator="equal">
      <formula>helpPlaceholderStr</formula>
    </cfRule>
    <cfRule type="cellIs" dxfId="41" priority="106" operator="equal">
      <formula>infoStr</formula>
    </cfRule>
    <cfRule type="cellIs" dxfId="40" priority="108" operator="equal">
      <formula>incorrectStr</formula>
    </cfRule>
  </conditionalFormatting>
  <conditionalFormatting sqref="A127:F128 A133:F134 D135:F138">
    <cfRule type="cellIs" dxfId="39" priority="113" operator="equal">
      <formula>infoStr</formula>
    </cfRule>
    <cfRule type="cellIs" dxfId="38" priority="114" operator="equal">
      <formula>helpPlaceholderStr</formula>
    </cfRule>
    <cfRule type="cellIs" dxfId="37" priority="115" operator="equal">
      <formula>incorrectStr</formula>
    </cfRule>
    <cfRule type="cellIs" dxfId="36" priority="116" operator="equal">
      <formula>correctStr</formula>
    </cfRule>
    <cfRule type="cellIs" dxfId="35" priority="117" operator="equal">
      <formula>infoStr</formula>
    </cfRule>
  </conditionalFormatting>
  <conditionalFormatting sqref="A141:F142">
    <cfRule type="cellIs" dxfId="34" priority="33" operator="equal">
      <formula>infoStr</formula>
    </cfRule>
    <cfRule type="cellIs" dxfId="33" priority="37" operator="equal">
      <formula>infoStr</formula>
    </cfRule>
    <cfRule type="cellIs" dxfId="32" priority="34" operator="equal">
      <formula>helpPlaceholderStr</formula>
    </cfRule>
    <cfRule type="cellIs" dxfId="31" priority="35" operator="equal">
      <formula>incorrectStr</formula>
    </cfRule>
    <cfRule type="cellIs" dxfId="30" priority="36" operator="equal">
      <formula>correctStr</formula>
    </cfRule>
  </conditionalFormatting>
  <conditionalFormatting sqref="A145:G146">
    <cfRule type="cellIs" dxfId="29" priority="120" operator="equal">
      <formula>infoStr</formula>
    </cfRule>
    <cfRule type="cellIs" dxfId="28" priority="121" operator="equal">
      <formula>helpPlaceholderStr</formula>
    </cfRule>
    <cfRule type="cellIs" dxfId="27" priority="122" operator="equal">
      <formula>incorrectStr</formula>
    </cfRule>
    <cfRule type="cellIs" dxfId="26" priority="123" operator="equal">
      <formula>correctStr</formula>
    </cfRule>
    <cfRule type="cellIs" dxfId="25" priority="124" operator="equal">
      <formula>infoStr</formula>
    </cfRule>
  </conditionalFormatting>
  <conditionalFormatting sqref="A152:G153">
    <cfRule type="cellIs" dxfId="24" priority="22" operator="equal">
      <formula>infoStr</formula>
    </cfRule>
    <cfRule type="cellIs" dxfId="23" priority="21" operator="equal">
      <formula>correctStr</formula>
    </cfRule>
    <cfRule type="cellIs" dxfId="22" priority="20" operator="equal">
      <formula>incorrectStr</formula>
    </cfRule>
    <cfRule type="cellIs" dxfId="21" priority="19" operator="equal">
      <formula>helpPlaceholderStr</formula>
    </cfRule>
    <cfRule type="cellIs" dxfId="20" priority="18" operator="equal">
      <formula>infoStr</formula>
    </cfRule>
  </conditionalFormatting>
  <conditionalFormatting sqref="A156:G157">
    <cfRule type="cellIs" dxfId="19" priority="129" operator="equal">
      <formula>incorrectStr</formula>
    </cfRule>
    <cfRule type="cellIs" dxfId="18" priority="127" operator="equal">
      <formula>infoStr</formula>
    </cfRule>
    <cfRule type="cellIs" dxfId="17" priority="128" operator="equal">
      <formula>helpPlaceholderStr</formula>
    </cfRule>
    <cfRule type="cellIs" dxfId="16" priority="130" operator="equal">
      <formula>correctStr</formula>
    </cfRule>
    <cfRule type="cellIs" dxfId="15" priority="131" operator="equal">
      <formula>infoStr</formula>
    </cfRule>
  </conditionalFormatting>
  <conditionalFormatting sqref="A163:G164">
    <cfRule type="cellIs" dxfId="14" priority="5" operator="equal">
      <formula>infoStr</formula>
    </cfRule>
    <cfRule type="cellIs" dxfId="13" priority="4" operator="equal">
      <formula>correctStr</formula>
    </cfRule>
    <cfRule type="cellIs" dxfId="12" priority="3" operator="equal">
      <formula>incorrectStr</formula>
    </cfRule>
    <cfRule type="cellIs" dxfId="11" priority="2" operator="equal">
      <formula>helpPlaceholderStr</formula>
    </cfRule>
    <cfRule type="cellIs" dxfId="10" priority="1" operator="equal">
      <formula>infoStr</formula>
    </cfRule>
  </conditionalFormatting>
  <conditionalFormatting sqref="A167:G168">
    <cfRule type="cellIs" dxfId="9" priority="10" operator="equal">
      <formula>incorrectStr</formula>
    </cfRule>
    <cfRule type="cellIs" dxfId="8" priority="12" operator="equal">
      <formula>infoStr</formula>
    </cfRule>
    <cfRule type="cellIs" dxfId="7" priority="11" operator="equal">
      <formula>correctStr</formula>
    </cfRule>
    <cfRule type="cellIs" dxfId="6" priority="9" operator="equal">
      <formula>helpPlaceholderStr</formula>
    </cfRule>
    <cfRule type="cellIs" dxfId="5" priority="8" operator="equal">
      <formula>infoStr</formula>
    </cfRule>
  </conditionalFormatting>
  <conditionalFormatting sqref="A9:XFD10 A64:XFD65 A102:XFD103 A109:XFD110 I115:XFD116 I119:XFD124 D123:E123 D124:F124 I127:XFD128 I133:XFD138 I141:XFD142 I145:XFD149 A147:B149 D147:G149 I152:XFD153 I156:XFD160 A158:B160 D158:G160 I163:XFD164 I167:XFD171">
    <cfRule type="cellIs" dxfId="4" priority="142" operator="equal">
      <formula>infoStr</formula>
    </cfRule>
    <cfRule type="cellIs" dxfId="3" priority="143" operator="equal">
      <formula>helpPlaceholderStr</formula>
    </cfRule>
    <cfRule type="cellIs" dxfId="2" priority="144" operator="equal">
      <formula>incorrectStr</formula>
    </cfRule>
    <cfRule type="cellIs" dxfId="1" priority="145" operator="equal">
      <formula>correctStr</formula>
    </cfRule>
    <cfRule type="cellIs" dxfId="0" priority="146" operator="equal">
      <formula>infoStr</formula>
    </cfRule>
  </conditionalFormatting>
  <hyperlinks>
    <hyperlink ref="B105" r:id="rId1" display="https://support.microsoft.com/en-us/office/switch-between-relative-and-absolute-references-981f5871-7864-42cc-b3f0-41ffa10cc6fc#" xr:uid="{118951C6-E2ED-4E38-8946-4849853F3786}"/>
  </hyperlinks>
  <pageMargins left="0.7" right="0.7" top="0.75" bottom="0.75" header="0.3" footer="0.3"/>
  <pageSetup paperSize="9"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1F6F4-889F-40BE-B059-545D576E6A54}">
  <sheetPr>
    <tabColor rgb="FFFF0000"/>
  </sheetPr>
  <dimension ref="B2:I34"/>
  <sheetViews>
    <sheetView workbookViewId="0"/>
  </sheetViews>
  <sheetFormatPr defaultRowHeight="14.4" x14ac:dyDescent="0.3"/>
  <cols>
    <col min="4" max="4" width="19.88671875" customWidth="1"/>
  </cols>
  <sheetData>
    <row r="2" spans="2:9" x14ac:dyDescent="0.3">
      <c r="C2" t="s">
        <v>31</v>
      </c>
      <c r="D2">
        <f>MAX($D$7:$D$27) - MIN($D$7:$D$27)</f>
        <v>0</v>
      </c>
      <c r="F2" t="s">
        <v>32</v>
      </c>
      <c r="G2">
        <f>MIN($D$7:$D$27) - range_ * 0.2</f>
        <v>0</v>
      </c>
    </row>
    <row r="3" spans="2:9" x14ac:dyDescent="0.3">
      <c r="C3" t="s">
        <v>30</v>
      </c>
      <c r="D3">
        <v>0.05</v>
      </c>
      <c r="F3" t="s">
        <v>33</v>
      </c>
      <c r="G3">
        <f>MAX($D$7:$D$27) + range_ * 0.2</f>
        <v>0</v>
      </c>
    </row>
    <row r="4" spans="2:9" x14ac:dyDescent="0.3">
      <c r="C4" t="s">
        <v>29</v>
      </c>
      <c r="D4">
        <f>range_ * tol</f>
        <v>0</v>
      </c>
    </row>
    <row r="6" spans="2:9" x14ac:dyDescent="0.3">
      <c r="B6" t="s">
        <v>36</v>
      </c>
      <c r="C6" t="s">
        <v>23</v>
      </c>
      <c r="D6" t="s">
        <v>22</v>
      </c>
      <c r="E6" t="s">
        <v>24</v>
      </c>
      <c r="F6" t="s">
        <v>25</v>
      </c>
      <c r="G6" t="s">
        <v>26</v>
      </c>
      <c r="H6" t="s">
        <v>27</v>
      </c>
      <c r="I6" t="s">
        <v>28</v>
      </c>
    </row>
    <row r="7" spans="2:9" x14ac:dyDescent="0.3">
      <c r="B7" t="s">
        <v>37</v>
      </c>
      <c r="C7">
        <v>0</v>
      </c>
      <c r="D7">
        <f>Algorithm!D21</f>
        <v>0</v>
      </c>
      <c r="E7">
        <f>ABS(D7)</f>
        <v>0</v>
      </c>
      <c r="F7" t="e">
        <f>_xlfn.FLOOR.MATH(LOG10(E7), 1)</f>
        <v>#NUM!</v>
      </c>
      <c r="G7" t="e">
        <f>ROUND(D7 / 10 ^ F7, 2) * 10 ^ F7</f>
        <v>#NUM!</v>
      </c>
      <c r="H7" t="e">
        <f>TEXT(G7, IF(F7 &gt;= 2, "#,#;–#,#", "#,#0." &amp; REPT("0", 2 - F7) &amp; ";–#,#0." &amp; REPT("0", 2 - F7)))</f>
        <v>#NUM!</v>
      </c>
      <c r="I7" s="1" t="str" cm="1">
        <f t="array" ref="I7">IFERROR(_xlfn.IFS(
    G8 &gt; G7, CHAR(10) &amp; CHAR(10) &amp; H7,
    G8 &lt; G7, H7 &amp; CHAR(10) &amp; CHAR(10),
    TRUE, "             " &amp; H7
), "")</f>
        <v/>
      </c>
    </row>
    <row r="8" spans="2:9" x14ac:dyDescent="0.3">
      <c r="B8" t="s">
        <v>0</v>
      </c>
      <c r="C8">
        <v>1</v>
      </c>
      <c r="D8">
        <f>Algorithm!D22</f>
        <v>0</v>
      </c>
      <c r="E8">
        <f t="shared" ref="E8:E27" si="0">ABS(D8)</f>
        <v>0</v>
      </c>
      <c r="F8" t="e">
        <f t="shared" ref="F8:F27" si="1">_xlfn.FLOOR.MATH(LOG10(E8), 1)</f>
        <v>#NUM!</v>
      </c>
      <c r="G8" t="e">
        <f t="shared" ref="G8:G27" si="2">ROUND(D8 / 10 ^ F8, 2) * 10 ^ F8</f>
        <v>#NUM!</v>
      </c>
      <c r="H8" t="e">
        <f t="shared" ref="H8:H27" si="3">TEXT(G8, IF(F8 &gt;= 2, "#,#;–#,#", "#,#0." &amp; REPT("0", 2 - F8) &amp; ";–#,#0." &amp; REPT("0", 2 - F8)))</f>
        <v>#NUM!</v>
      </c>
      <c r="I8" t="str" cm="1">
        <f t="array" ref="I8">IFERROR(_xlfn.IFS(
    AND(G9 - G8 &gt; thresh, G7 - G8 &gt; thresh), CHAR(10) &amp; CHAR(10) &amp; H8,
    AND(G8 - G9 &gt; thresh, G8 - G7 &gt; thresh), H8 &amp; CHAR(10) &amp; CHAR(10),
    ABS(G8 - G7) &lt;= thresh, IF(MOD(ROW(), 2) = 0, CHAR(10) &amp; CHAR(10) &amp; H8, H8 &amp; CHAR(10) &amp; CHAR(10)),
    TRUE, "             " &amp; H8
), "")</f>
        <v/>
      </c>
    </row>
    <row r="9" spans="2:9" x14ac:dyDescent="0.3">
      <c r="B9" t="s">
        <v>1</v>
      </c>
      <c r="C9">
        <v>2</v>
      </c>
      <c r="D9">
        <f>Algorithm!D23</f>
        <v>0</v>
      </c>
      <c r="E9">
        <f t="shared" si="0"/>
        <v>0</v>
      </c>
      <c r="F9" t="e">
        <f t="shared" si="1"/>
        <v>#NUM!</v>
      </c>
      <c r="G9" t="e">
        <f t="shared" si="2"/>
        <v>#NUM!</v>
      </c>
      <c r="H9" t="e">
        <f t="shared" si="3"/>
        <v>#NUM!</v>
      </c>
      <c r="I9" t="str" cm="1">
        <f t="array" ref="I9">IFERROR(_xlfn.IFS(
    AND(G10 - G9 &gt; thresh, G8 - G9 &gt; thresh), CHAR(10) &amp; CHAR(10) &amp; H9,
    AND(G9 - G10 &gt; thresh, G9 - G8 &gt; thresh), H9 &amp; CHAR(10) &amp; CHAR(10),
    ABS(G9 - G8) &lt;= thresh, IF(MOD(ROW(), 2) = 0, CHAR(10) &amp; CHAR(10) &amp; H9, H9 &amp; CHAR(10) &amp; CHAR(10)),
    TRUE, "             " &amp; H9
), "")</f>
        <v/>
      </c>
    </row>
    <row r="10" spans="2:9" x14ac:dyDescent="0.3">
      <c r="B10" t="s">
        <v>2</v>
      </c>
      <c r="C10">
        <v>3</v>
      </c>
      <c r="D10">
        <f>Algorithm!D24</f>
        <v>0</v>
      </c>
      <c r="E10">
        <f t="shared" si="0"/>
        <v>0</v>
      </c>
      <c r="F10" t="e">
        <f t="shared" si="1"/>
        <v>#NUM!</v>
      </c>
      <c r="G10" t="e">
        <f t="shared" si="2"/>
        <v>#NUM!</v>
      </c>
      <c r="H10" t="e">
        <f t="shared" si="3"/>
        <v>#NUM!</v>
      </c>
      <c r="I10" t="str" cm="1">
        <f t="array" ref="I10">IFERROR(_xlfn.IFS(
    AND(G11 - G10 &gt; thresh, G9 - G10 &gt; thresh), CHAR(10) &amp; CHAR(10) &amp; H10,
    AND(G10 - G11 &gt; thresh, G10 - G9 &gt; thresh), H10 &amp; CHAR(10) &amp; CHAR(10),
    ABS(G10 - G9) &lt;= thresh, IF(MOD(ROW(), 2) = 0, CHAR(10) &amp; CHAR(10) &amp; H10, H10 &amp; CHAR(10) &amp; CHAR(10)),
    TRUE, "             " &amp; H10
), "")</f>
        <v/>
      </c>
    </row>
    <row r="11" spans="2:9" x14ac:dyDescent="0.3">
      <c r="B11" t="s">
        <v>3</v>
      </c>
      <c r="C11">
        <v>4</v>
      </c>
      <c r="D11">
        <f>Algorithm!D25</f>
        <v>0</v>
      </c>
      <c r="E11">
        <f t="shared" si="0"/>
        <v>0</v>
      </c>
      <c r="F11" t="e">
        <f t="shared" si="1"/>
        <v>#NUM!</v>
      </c>
      <c r="G11" t="e">
        <f t="shared" si="2"/>
        <v>#NUM!</v>
      </c>
      <c r="H11" t="e">
        <f t="shared" si="3"/>
        <v>#NUM!</v>
      </c>
      <c r="I11" t="str" cm="1">
        <f t="array" ref="I11">IFERROR(_xlfn.IFS(
    AND(G12 - G11 &gt; thresh, G10 - G11 &gt; thresh), CHAR(10) &amp; CHAR(10) &amp; H11,
    AND(G11 - G12 &gt; thresh, G11 - G10 &gt; thresh), H11 &amp; CHAR(10) &amp; CHAR(10),
    ABS(G11 - G10) &lt;= thresh, IF(MOD(ROW(), 2) = 0, CHAR(10) &amp; CHAR(10) &amp; H11, H11 &amp; CHAR(10) &amp; CHAR(10)),
    TRUE, "             " &amp; H11
), "")</f>
        <v/>
      </c>
    </row>
    <row r="12" spans="2:9" x14ac:dyDescent="0.3">
      <c r="B12" t="s">
        <v>4</v>
      </c>
      <c r="C12">
        <v>5</v>
      </c>
      <c r="D12">
        <f>Algorithm!D26</f>
        <v>0</v>
      </c>
      <c r="E12">
        <f t="shared" si="0"/>
        <v>0</v>
      </c>
      <c r="F12" t="e">
        <f t="shared" si="1"/>
        <v>#NUM!</v>
      </c>
      <c r="G12" t="e">
        <f t="shared" si="2"/>
        <v>#NUM!</v>
      </c>
      <c r="H12" t="e">
        <f t="shared" si="3"/>
        <v>#NUM!</v>
      </c>
      <c r="I12" t="str" cm="1">
        <f t="array" ref="I12">IFERROR(_xlfn.IFS(
    AND(G13 - G12 &gt; thresh, G11 - G12 &gt; thresh), CHAR(10) &amp; CHAR(10) &amp; H12,
    AND(G12 - G13 &gt; thresh, G12 - G11 &gt; thresh), H12 &amp; CHAR(10) &amp; CHAR(10),
    ABS(G12 - G11) &lt;= thresh, IF(MOD(ROW(), 2) = 0, CHAR(10) &amp; CHAR(10) &amp; H12, H12 &amp; CHAR(10) &amp; CHAR(10)),
    TRUE, "             " &amp; H12
), "")</f>
        <v/>
      </c>
    </row>
    <row r="13" spans="2:9" x14ac:dyDescent="0.3">
      <c r="B13" t="s">
        <v>5</v>
      </c>
      <c r="C13">
        <v>6</v>
      </c>
      <c r="D13">
        <f>Algorithm!D27</f>
        <v>0</v>
      </c>
      <c r="E13">
        <f t="shared" si="0"/>
        <v>0</v>
      </c>
      <c r="F13" t="e">
        <f t="shared" si="1"/>
        <v>#NUM!</v>
      </c>
      <c r="G13" t="e">
        <f t="shared" si="2"/>
        <v>#NUM!</v>
      </c>
      <c r="H13" t="e">
        <f t="shared" si="3"/>
        <v>#NUM!</v>
      </c>
      <c r="I13" t="str" cm="1">
        <f t="array" ref="I13">IFERROR(_xlfn.IFS(
    AND(G14 - G13 &gt; thresh, G12 - G13 &gt; thresh), CHAR(10) &amp; CHAR(10) &amp; H13,
    AND(G13 - G14 &gt; thresh, G13 - G12 &gt; thresh), H13 &amp; CHAR(10) &amp; CHAR(10),
    ABS(G13 - G12) &lt;= thresh, IF(MOD(ROW(), 2) = 0, CHAR(10) &amp; CHAR(10) &amp; H13, H13 &amp; CHAR(10) &amp; CHAR(10)),
    TRUE, "             " &amp; H13
), "")</f>
        <v/>
      </c>
    </row>
    <row r="14" spans="2:9" x14ac:dyDescent="0.3">
      <c r="B14" t="s">
        <v>6</v>
      </c>
      <c r="C14">
        <v>7</v>
      </c>
      <c r="D14">
        <f>Algorithm!D28</f>
        <v>0</v>
      </c>
      <c r="E14">
        <f t="shared" si="0"/>
        <v>0</v>
      </c>
      <c r="F14" t="e">
        <f t="shared" si="1"/>
        <v>#NUM!</v>
      </c>
      <c r="G14" t="e">
        <f t="shared" si="2"/>
        <v>#NUM!</v>
      </c>
      <c r="H14" t="e">
        <f t="shared" si="3"/>
        <v>#NUM!</v>
      </c>
      <c r="I14" t="str" cm="1">
        <f t="array" ref="I14">IFERROR(_xlfn.IFS(
    AND(G15 - G14 &gt; thresh, G13 - G14 &gt; thresh), CHAR(10) &amp; CHAR(10) &amp; H14,
    AND(G14 - G15 &gt; thresh, G14 - G13 &gt; thresh), H14 &amp; CHAR(10) &amp; CHAR(10),
    ABS(G14 - G13) &lt;= thresh, IF(MOD(ROW(), 2) = 0, CHAR(10) &amp; CHAR(10) &amp; H14, H14 &amp; CHAR(10) &amp; CHAR(10)),
    TRUE, "             " &amp; H14
), "")</f>
        <v/>
      </c>
    </row>
    <row r="15" spans="2:9" x14ac:dyDescent="0.3">
      <c r="B15" t="s">
        <v>7</v>
      </c>
      <c r="C15">
        <v>8</v>
      </c>
      <c r="D15">
        <f>Algorithm!D29</f>
        <v>0</v>
      </c>
      <c r="E15">
        <f t="shared" si="0"/>
        <v>0</v>
      </c>
      <c r="F15" t="e">
        <f t="shared" si="1"/>
        <v>#NUM!</v>
      </c>
      <c r="G15" t="e">
        <f t="shared" si="2"/>
        <v>#NUM!</v>
      </c>
      <c r="H15" t="e">
        <f t="shared" si="3"/>
        <v>#NUM!</v>
      </c>
      <c r="I15" t="str" cm="1">
        <f t="array" ref="I15">IFERROR(_xlfn.IFS(
    AND(G16 - G15 &gt; thresh, G14 - G15 &gt; thresh), CHAR(10) &amp; CHAR(10) &amp; H15,
    AND(G15 - G16 &gt; thresh, G15 - G14 &gt; thresh), H15 &amp; CHAR(10) &amp; CHAR(10),
    ABS(G15 - G14) &lt;= thresh, IF(MOD(ROW(), 2) = 0, CHAR(10) &amp; CHAR(10) &amp; H15, H15 &amp; CHAR(10) &amp; CHAR(10)),
    TRUE, "             " &amp; H15
), "")</f>
        <v/>
      </c>
    </row>
    <row r="16" spans="2:9" x14ac:dyDescent="0.3">
      <c r="B16" t="s">
        <v>8</v>
      </c>
      <c r="C16">
        <v>9</v>
      </c>
      <c r="D16">
        <f>Algorithm!D30</f>
        <v>0</v>
      </c>
      <c r="E16">
        <f t="shared" si="0"/>
        <v>0</v>
      </c>
      <c r="F16" t="e">
        <f t="shared" si="1"/>
        <v>#NUM!</v>
      </c>
      <c r="G16" t="e">
        <f t="shared" si="2"/>
        <v>#NUM!</v>
      </c>
      <c r="H16" t="e">
        <f t="shared" si="3"/>
        <v>#NUM!</v>
      </c>
      <c r="I16" t="str" cm="1">
        <f t="array" ref="I16">IFERROR(_xlfn.IFS(
    AND(G17 - G16 &gt; thresh, G15 - G16 &gt; thresh), CHAR(10) &amp; CHAR(10) &amp; H16,
    AND(G16 - G17 &gt; thresh, G16 - G15 &gt; thresh), H16 &amp; CHAR(10) &amp; CHAR(10),
    ABS(G16 - G15) &lt;= thresh, IF(MOD(ROW(), 2) = 0, CHAR(10) &amp; CHAR(10) &amp; H16, H16 &amp; CHAR(10) &amp; CHAR(10)),
    TRUE, "             " &amp; H16
), "")</f>
        <v/>
      </c>
    </row>
    <row r="17" spans="2:9" x14ac:dyDescent="0.3">
      <c r="B17" t="s">
        <v>9</v>
      </c>
      <c r="C17">
        <v>10</v>
      </c>
      <c r="D17">
        <f>Algorithm!D31</f>
        <v>0</v>
      </c>
      <c r="E17">
        <f t="shared" si="0"/>
        <v>0</v>
      </c>
      <c r="F17" t="e">
        <f t="shared" si="1"/>
        <v>#NUM!</v>
      </c>
      <c r="G17" t="e">
        <f t="shared" si="2"/>
        <v>#NUM!</v>
      </c>
      <c r="H17" t="e">
        <f t="shared" si="3"/>
        <v>#NUM!</v>
      </c>
      <c r="I17" t="str" cm="1">
        <f t="array" ref="I17">IFERROR(_xlfn.IFS(
    AND(G18 - G17 &gt; thresh, G16 - G17 &gt; thresh), CHAR(10) &amp; CHAR(10) &amp; H17,
    AND(G17 - G18 &gt; thresh, G17 - G16 &gt; thresh), H17 &amp; CHAR(10) &amp; CHAR(10),
    ABS(G17 - G16) &lt;= thresh, IF(MOD(ROW(), 2) = 0, CHAR(10) &amp; CHAR(10) &amp; H17, H17 &amp; CHAR(10) &amp; CHAR(10)),
    TRUE, "             " &amp; H17
), "")</f>
        <v/>
      </c>
    </row>
    <row r="18" spans="2:9" x14ac:dyDescent="0.3">
      <c r="B18" t="s">
        <v>10</v>
      </c>
      <c r="C18">
        <v>11</v>
      </c>
      <c r="D18">
        <f>Algorithm!D32</f>
        <v>0</v>
      </c>
      <c r="E18">
        <f t="shared" si="0"/>
        <v>0</v>
      </c>
      <c r="F18" t="e">
        <f t="shared" si="1"/>
        <v>#NUM!</v>
      </c>
      <c r="G18" t="e">
        <f t="shared" si="2"/>
        <v>#NUM!</v>
      </c>
      <c r="H18" t="e">
        <f t="shared" si="3"/>
        <v>#NUM!</v>
      </c>
      <c r="I18" t="str" cm="1">
        <f t="array" ref="I18">IFERROR(_xlfn.IFS(
    AND(G19 - G18 &gt; thresh, G17 - G18 &gt; thresh), CHAR(10) &amp; CHAR(10) &amp; H18,
    AND(G18 - G19 &gt; thresh, G18 - G17 &gt; thresh), H18 &amp; CHAR(10) &amp; CHAR(10),
    ABS(G18 - G17) &lt;= thresh, IF(MOD(ROW(), 2) = 0, CHAR(10) &amp; CHAR(10) &amp; H18, H18 &amp; CHAR(10) &amp; CHAR(10)),
    TRUE, "             " &amp; H18
), "")</f>
        <v/>
      </c>
    </row>
    <row r="19" spans="2:9" x14ac:dyDescent="0.3">
      <c r="B19" t="s">
        <v>11</v>
      </c>
      <c r="C19">
        <v>12</v>
      </c>
      <c r="D19">
        <f>Algorithm!D33</f>
        <v>0</v>
      </c>
      <c r="E19">
        <f t="shared" si="0"/>
        <v>0</v>
      </c>
      <c r="F19" t="e">
        <f t="shared" si="1"/>
        <v>#NUM!</v>
      </c>
      <c r="G19" t="e">
        <f t="shared" si="2"/>
        <v>#NUM!</v>
      </c>
      <c r="H19" t="e">
        <f t="shared" si="3"/>
        <v>#NUM!</v>
      </c>
      <c r="I19" t="str" cm="1">
        <f t="array" ref="I19">IFERROR(_xlfn.IFS(
    AND(G20 - G19 &gt; thresh, G18 - G19 &gt; thresh), CHAR(10) &amp; CHAR(10) &amp; H19,
    AND(G19 - G20 &gt; thresh, G19 - G18 &gt; thresh), H19 &amp; CHAR(10) &amp; CHAR(10),
    ABS(G19 - G18) &lt;= thresh, IF(MOD(ROW(), 2) = 0, CHAR(10) &amp; CHAR(10) &amp; H19, H19 &amp; CHAR(10) &amp; CHAR(10)),
    TRUE, "             " &amp; H19
), "")</f>
        <v/>
      </c>
    </row>
    <row r="20" spans="2:9" x14ac:dyDescent="0.3">
      <c r="B20" t="s">
        <v>12</v>
      </c>
      <c r="C20">
        <v>13</v>
      </c>
      <c r="D20">
        <f>Algorithm!D34</f>
        <v>0</v>
      </c>
      <c r="E20">
        <f t="shared" si="0"/>
        <v>0</v>
      </c>
      <c r="F20" t="e">
        <f t="shared" si="1"/>
        <v>#NUM!</v>
      </c>
      <c r="G20" t="e">
        <f t="shared" si="2"/>
        <v>#NUM!</v>
      </c>
      <c r="H20" t="e">
        <f t="shared" si="3"/>
        <v>#NUM!</v>
      </c>
      <c r="I20" t="str" cm="1">
        <f t="array" ref="I20">IFERROR(_xlfn.IFS(
    AND(G21 - G20 &gt; thresh, G19 - G20 &gt; thresh), CHAR(10) &amp; CHAR(10) &amp; H20,
    AND(G20 - G21 &gt; thresh, G20 - G19 &gt; thresh), H20 &amp; CHAR(10) &amp; CHAR(10),
    ABS(G20 - G19) &lt;= thresh, IF(MOD(ROW(), 2) = 0, CHAR(10) &amp; CHAR(10) &amp; H20, H20 &amp; CHAR(10) &amp; CHAR(10)),
    TRUE, "             " &amp; H20
), "")</f>
        <v/>
      </c>
    </row>
    <row r="21" spans="2:9" x14ac:dyDescent="0.3">
      <c r="B21" t="s">
        <v>13</v>
      </c>
      <c r="C21">
        <v>14</v>
      </c>
      <c r="D21">
        <f>Algorithm!D35</f>
        <v>0</v>
      </c>
      <c r="E21">
        <f t="shared" si="0"/>
        <v>0</v>
      </c>
      <c r="F21" t="e">
        <f t="shared" si="1"/>
        <v>#NUM!</v>
      </c>
      <c r="G21" t="e">
        <f t="shared" si="2"/>
        <v>#NUM!</v>
      </c>
      <c r="H21" t="e">
        <f t="shared" si="3"/>
        <v>#NUM!</v>
      </c>
      <c r="I21" t="str" cm="1">
        <f t="array" ref="I21">IFERROR(_xlfn.IFS(
    AND(G22 - G21 &gt; thresh, G20 - G21 &gt; thresh), CHAR(10) &amp; CHAR(10) &amp; H21,
    AND(G21 - G22 &gt; thresh, G21 - G20 &gt; thresh), H21 &amp; CHAR(10) &amp; CHAR(10),
    ABS(G21 - G20) &lt;= thresh, IF(MOD(ROW(), 2) = 0, CHAR(10) &amp; CHAR(10) &amp; H21, H21 &amp; CHAR(10) &amp; CHAR(10)),
    TRUE, "             " &amp; H21
), "")</f>
        <v/>
      </c>
    </row>
    <row r="22" spans="2:9" x14ac:dyDescent="0.3">
      <c r="B22" t="s">
        <v>14</v>
      </c>
      <c r="C22">
        <v>15</v>
      </c>
      <c r="D22">
        <f>Algorithm!D36</f>
        <v>0</v>
      </c>
      <c r="E22">
        <f t="shared" si="0"/>
        <v>0</v>
      </c>
      <c r="F22" t="e">
        <f t="shared" si="1"/>
        <v>#NUM!</v>
      </c>
      <c r="G22" t="e">
        <f t="shared" si="2"/>
        <v>#NUM!</v>
      </c>
      <c r="H22" t="e">
        <f t="shared" si="3"/>
        <v>#NUM!</v>
      </c>
      <c r="I22" t="str" cm="1">
        <f t="array" ref="I22">IFERROR(_xlfn.IFS(
    AND(G23 - G22 &gt; thresh, G21 - G22 &gt; thresh), CHAR(10) &amp; CHAR(10) &amp; H22,
    AND(G22 - G23 &gt; thresh, G22 - G21 &gt; thresh), H22 &amp; CHAR(10) &amp; CHAR(10),
    ABS(G22 - G21) &lt;= thresh, IF(MOD(ROW(), 2) = 0, CHAR(10) &amp; CHAR(10) &amp; H22, H22 &amp; CHAR(10) &amp; CHAR(10)),
    TRUE, "             " &amp; H22
), "")</f>
        <v/>
      </c>
    </row>
    <row r="23" spans="2:9" x14ac:dyDescent="0.3">
      <c r="B23" t="s">
        <v>15</v>
      </c>
      <c r="C23">
        <v>16</v>
      </c>
      <c r="D23">
        <f>Algorithm!D37</f>
        <v>0</v>
      </c>
      <c r="E23">
        <f t="shared" si="0"/>
        <v>0</v>
      </c>
      <c r="F23" t="e">
        <f t="shared" si="1"/>
        <v>#NUM!</v>
      </c>
      <c r="G23" t="e">
        <f t="shared" si="2"/>
        <v>#NUM!</v>
      </c>
      <c r="H23" t="e">
        <f t="shared" si="3"/>
        <v>#NUM!</v>
      </c>
      <c r="I23" t="str" cm="1">
        <f t="array" ref="I23">IFERROR(_xlfn.IFS(
    AND(G24 - G23 &gt; thresh, G22 - G23 &gt; thresh), CHAR(10) &amp; CHAR(10) &amp; H23,
    AND(G23 - G24 &gt; thresh, G23 - G22 &gt; thresh), H23 &amp; CHAR(10) &amp; CHAR(10),
    ABS(G23 - G22) &lt;= thresh, IF(MOD(ROW(), 2) = 0, CHAR(10) &amp; CHAR(10) &amp; H23, H23 &amp; CHAR(10) &amp; CHAR(10)),
    TRUE, "             " &amp; H23
), "")</f>
        <v/>
      </c>
    </row>
    <row r="24" spans="2:9" x14ac:dyDescent="0.3">
      <c r="B24" t="s">
        <v>16</v>
      </c>
      <c r="C24">
        <v>17</v>
      </c>
      <c r="D24">
        <f>Algorithm!D38</f>
        <v>0</v>
      </c>
      <c r="E24">
        <f t="shared" si="0"/>
        <v>0</v>
      </c>
      <c r="F24" t="e">
        <f t="shared" si="1"/>
        <v>#NUM!</v>
      </c>
      <c r="G24" t="e">
        <f t="shared" si="2"/>
        <v>#NUM!</v>
      </c>
      <c r="H24" t="e">
        <f t="shared" si="3"/>
        <v>#NUM!</v>
      </c>
      <c r="I24" t="str" cm="1">
        <f t="array" ref="I24">IFERROR(_xlfn.IFS(
    AND(G25 - G24 &gt; thresh, G23 - G24 &gt; thresh), CHAR(10) &amp; CHAR(10) &amp; H24,
    AND(G24 - G25 &gt; thresh, G24 - G23 &gt; thresh), H24 &amp; CHAR(10) &amp; CHAR(10),
    ABS(G24 - G23) &lt;= thresh, IF(MOD(ROW(), 2) = 0, CHAR(10) &amp; CHAR(10) &amp; H24, H24 &amp; CHAR(10) &amp; CHAR(10)),
    TRUE, "             " &amp; H24
), "")</f>
        <v/>
      </c>
    </row>
    <row r="25" spans="2:9" x14ac:dyDescent="0.3">
      <c r="B25" t="s">
        <v>34</v>
      </c>
      <c r="C25">
        <v>18</v>
      </c>
      <c r="D25">
        <f>Algorithm!D39</f>
        <v>0</v>
      </c>
      <c r="E25">
        <f t="shared" si="0"/>
        <v>0</v>
      </c>
      <c r="F25" t="e">
        <f t="shared" si="1"/>
        <v>#NUM!</v>
      </c>
      <c r="G25" t="e">
        <f t="shared" si="2"/>
        <v>#NUM!</v>
      </c>
      <c r="H25" t="e">
        <f t="shared" si="3"/>
        <v>#NUM!</v>
      </c>
      <c r="I25" t="str" cm="1">
        <f t="array" ref="I25">IFERROR(_xlfn.IFS(
    AND(G26 - G25 &gt; thresh, G24 - G25 &gt; thresh), CHAR(10) &amp; CHAR(10) &amp; H25,
    AND(G25 - G26 &gt; thresh, G25 - G24 &gt; thresh), H25 &amp; CHAR(10) &amp; CHAR(10),
    ABS(G25 - G24) &lt;= thresh, IF(MOD(ROW(), 2) = 0, CHAR(10) &amp; CHAR(10) &amp; H25, H25 &amp; CHAR(10) &amp; CHAR(10)),
    TRUE, "             " &amp; H25
), "")</f>
        <v/>
      </c>
    </row>
    <row r="26" spans="2:9" x14ac:dyDescent="0.3">
      <c r="B26" t="s">
        <v>35</v>
      </c>
      <c r="C26">
        <v>19</v>
      </c>
      <c r="D26">
        <f>Algorithm!D40</f>
        <v>0</v>
      </c>
      <c r="E26">
        <f t="shared" si="0"/>
        <v>0</v>
      </c>
      <c r="F26" t="e">
        <f t="shared" si="1"/>
        <v>#NUM!</v>
      </c>
      <c r="G26" t="e">
        <f t="shared" si="2"/>
        <v>#NUM!</v>
      </c>
      <c r="H26" t="e">
        <f t="shared" si="3"/>
        <v>#NUM!</v>
      </c>
      <c r="I26" t="str" cm="1">
        <f t="array" ref="I26">IFERROR(_xlfn.IFS(
    AND(G27 - G26 &gt; thresh, G25 - G26 &gt; thresh), CHAR(10) &amp; CHAR(10) &amp; H26,
    AND(G26 - G27 &gt; thresh, G26 - G25 &gt; thresh), H26 &amp; CHAR(10) &amp; CHAR(10),
    ABS(G26 - G25) &lt;= thresh, IF(MOD(ROW(), 2) = 0, CHAR(10) &amp; CHAR(10) &amp; H26, H26 &amp; CHAR(10) &amp; CHAR(10)),
    TRUE, "             " &amp; H26
), "")</f>
        <v/>
      </c>
    </row>
    <row r="27" spans="2:9" x14ac:dyDescent="0.3">
      <c r="B27" t="s">
        <v>38</v>
      </c>
      <c r="C27">
        <v>20</v>
      </c>
      <c r="D27">
        <f>Algorithm!D41</f>
        <v>0</v>
      </c>
      <c r="E27">
        <f t="shared" si="0"/>
        <v>0</v>
      </c>
      <c r="F27" t="e">
        <f t="shared" si="1"/>
        <v>#NUM!</v>
      </c>
      <c r="G27" t="e">
        <f t="shared" si="2"/>
        <v>#NUM!</v>
      </c>
      <c r="H27" t="e">
        <f t="shared" si="3"/>
        <v>#NUM!</v>
      </c>
      <c r="I27" s="1" t="str" cm="1">
        <f t="array" ref="I27">IFERROR(_xlfn.IFS(
    G26 &gt; G27, CHAR(10) &amp; CHAR(10) &amp; H27,
    G26 &lt; G27, H27 &amp; CHAR(10) &amp; CHAR(10),
    TRUE, "             " &amp; H27
), "")</f>
        <v/>
      </c>
    </row>
    <row r="30" spans="2:9" x14ac:dyDescent="0.3">
      <c r="B30" s="42" t="s">
        <v>88</v>
      </c>
    </row>
    <row r="31" spans="2:9" x14ac:dyDescent="0.3">
      <c r="B31" s="2" t="s">
        <v>41</v>
      </c>
    </row>
    <row r="32" spans="2:9" ht="15" customHeight="1" x14ac:dyDescent="0.3">
      <c r="B32" t="str">
        <f>"1. In cell "
&amp; ADDRESS(ROW('Formula help'!$E$49), COLUMN('Formula help'!$E$49), 4, 1)
&amp; ", enter the formula:"
&amp; CHAR(10)
&amp; "="
&amp; ADDRESS(ROW('Formula help'!$E$43), COLUMN('Formula help'!$E$43), 4, 1)</f>
        <v>1. In cell E49, enter the formula:
=E43</v>
      </c>
    </row>
    <row r="33" spans="2:2" x14ac:dyDescent="0.3">
      <c r="B33" t="str">
        <f>"2. Copy the formula down to cell "
&amp; ADDRESS(ROW('Formula help'!$E$45), COLUMN('Formula help'!$E$45), 4, 1)
&amp; "."</f>
        <v>2. Copy the formula down to cell E45.</v>
      </c>
    </row>
    <row r="34" spans="2:2" x14ac:dyDescent="0.3">
      <c r="B34" t="str">
        <f>"3. Copy the formula across to cell "
&amp; ADDRESS(ROW('Formula help'!$G$45), COLUMN('Formula help'!$G$45), 4, 1)
&amp; "."</f>
        <v>3. Copy the formula across to cell G45.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Algorithm</vt:lpstr>
      <vt:lpstr>Formula help</vt:lpstr>
      <vt:lpstr>Dev</vt:lpstr>
      <vt:lpstr>range_</vt:lpstr>
      <vt:lpstr>thresh</vt:lpstr>
      <vt:lpstr>tol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Alvin</dc:creator>
  <cp:lastModifiedBy>Beardsley, Paul</cp:lastModifiedBy>
  <dcterms:created xsi:type="dcterms:W3CDTF">2022-06-13T10:25:31Z</dcterms:created>
  <dcterms:modified xsi:type="dcterms:W3CDTF">2025-09-17T15:43:48Z</dcterms:modified>
</cp:coreProperties>
</file>